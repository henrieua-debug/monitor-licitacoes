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magovbr-my.sharepoint.com/personal/alessandro_torido_governancabrasil_com_br/Documents/Documentos/"/>
    </mc:Choice>
  </mc:AlternateContent>
  <xr:revisionPtr revIDLastSave="1" documentId="11_9E97DD881C88285A58C0595383DE73C355F1D770" xr6:coauthVersionLast="47" xr6:coauthVersionMax="47" xr10:uidLastSave="{3776F760-6763-411A-8DA6-BBE1B6BC66C4}"/>
  <bookViews>
    <workbookView xWindow="-108" yWindow="-108" windowWidth="23256" windowHeight="12456" tabRatio="500" xr2:uid="{00000000-000D-0000-FFFF-FFFF00000000}"/>
  </bookViews>
  <sheets>
    <sheet name="Resumo Executivo" sheetId="1" r:id="rId1"/>
    <sheet name="IA Operacional (sem produt R&amp;D)" sheetId="2" r:id="rId2"/>
    <sheet name="Custo por Área" sheetId="3" r:id="rId3"/>
    <sheet name="Custo por Área 2" sheetId="4" r:id="rId4"/>
    <sheet name="Usuários por Ferramenta" sheetId="5" r:id="rId5"/>
    <sheet name="Detalhamento por Ferramenta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6" l="1"/>
  <c r="E9" i="6" s="1"/>
  <c r="D8" i="6"/>
  <c r="E8" i="6" s="1"/>
  <c r="E7" i="6"/>
  <c r="D7" i="6"/>
  <c r="D6" i="6"/>
  <c r="E6" i="6" s="1"/>
  <c r="D5" i="6"/>
  <c r="E5" i="6" s="1"/>
  <c r="D4" i="6"/>
  <c r="E4" i="6" s="1"/>
  <c r="E17" i="4"/>
  <c r="E11" i="4"/>
  <c r="E16" i="4" s="1"/>
  <c r="D11" i="4"/>
  <c r="E15" i="4" s="1"/>
  <c r="F10" i="4"/>
  <c r="F9" i="4"/>
  <c r="F8" i="4"/>
  <c r="F7" i="4"/>
  <c r="F6" i="4"/>
  <c r="F11" i="4" s="1"/>
  <c r="E11" i="3"/>
  <c r="E18" i="4" s="1"/>
  <c r="D11" i="3"/>
  <c r="F10" i="3" s="1"/>
  <c r="D13" i="2"/>
  <c r="E17" i="2" s="1"/>
  <c r="C13" i="2"/>
  <c r="F12" i="2"/>
  <c r="E12" i="2"/>
  <c r="F11" i="2"/>
  <c r="E11" i="2"/>
  <c r="F10" i="2"/>
  <c r="E10" i="2"/>
  <c r="F9" i="2"/>
  <c r="E9" i="2"/>
  <c r="F8" i="2"/>
  <c r="E8" i="2"/>
  <c r="E13" i="2" s="1"/>
  <c r="E18" i="2" s="1"/>
  <c r="F7" i="2"/>
  <c r="E7" i="2"/>
  <c r="E6" i="2"/>
  <c r="E5" i="2"/>
  <c r="E25" i="1"/>
  <c r="E24" i="1"/>
  <c r="E23" i="1"/>
  <c r="E22" i="1"/>
  <c r="E21" i="1"/>
  <c r="D15" i="1"/>
  <c r="F8" i="1" s="1"/>
  <c r="C15" i="1"/>
  <c r="F14" i="1"/>
  <c r="E14" i="1"/>
  <c r="F13" i="1"/>
  <c r="E13" i="1"/>
  <c r="F12" i="1"/>
  <c r="E12" i="1"/>
  <c r="F11" i="1"/>
  <c r="E11" i="1"/>
  <c r="F10" i="1"/>
  <c r="E10" i="1"/>
  <c r="F9" i="1"/>
  <c r="E9" i="1"/>
  <c r="E15" i="1" s="1"/>
  <c r="E8" i="1"/>
  <c r="E7" i="1"/>
  <c r="D6" i="1"/>
  <c r="F6" i="1" s="1"/>
  <c r="D5" i="1"/>
  <c r="F5" i="1" s="1"/>
  <c r="E22" i="2" l="1"/>
  <c r="E20" i="2"/>
  <c r="E20" i="1"/>
  <c r="E19" i="4"/>
  <c r="E23" i="2"/>
  <c r="F6" i="3"/>
  <c r="E20" i="4"/>
  <c r="F8" i="3"/>
  <c r="F7" i="3"/>
  <c r="F5" i="2"/>
  <c r="F7" i="1"/>
  <c r="F15" i="1" s="1"/>
  <c r="F9" i="3"/>
  <c r="E21" i="2"/>
  <c r="F6" i="2"/>
  <c r="E19" i="1"/>
  <c r="E19" i="2"/>
  <c r="F13" i="2" l="1"/>
  <c r="F11" i="3"/>
</calcChain>
</file>

<file path=xl/sharedStrings.xml><?xml version="1.0" encoding="utf-8"?>
<sst xmlns="http://schemas.openxmlformats.org/spreadsheetml/2006/main" count="1445" uniqueCount="551">
  <si>
    <t>Custos com Ferramentas de IA - Apresentação C-Level</t>
  </si>
  <si>
    <t>Consolidado mensal e projeção anual | Referência: Maio/2026</t>
  </si>
  <si>
    <t>Ferramenta</t>
  </si>
  <si>
    <t>Fornecedor / Categoria</t>
  </si>
  <si>
    <t>Usuários / Licenças</t>
  </si>
  <si>
    <t>Custo Mensal (R$)</t>
  </si>
  <si>
    <t>Custo Anual (R$)</t>
  </si>
  <si>
    <t>% do Total Mensal</t>
  </si>
  <si>
    <t>Builder360 R&amp;D</t>
  </si>
  <si>
    <t>Contrato anual - Plataforma de IA para P&amp;D</t>
  </si>
  <si>
    <t>N/A (contrato anual)</t>
  </si>
  <si>
    <t>Assistente Inteligente R&amp;D</t>
  </si>
  <si>
    <t>Claude</t>
  </si>
  <si>
    <t>Anthropic - Assistente IA generalista</t>
  </si>
  <si>
    <t>Fortics</t>
  </si>
  <si>
    <t>Plataforma de atendimento IA (SZ.chat)</t>
  </si>
  <si>
    <t>N/A (plataforma)</t>
  </si>
  <si>
    <t>GitHub Copilot</t>
  </si>
  <si>
    <t>GitHub - Assistente de código com IA</t>
  </si>
  <si>
    <t>ChatGPT</t>
  </si>
  <si>
    <t>OpenAI - Assistente IA generalista</t>
  </si>
  <si>
    <t>Adobe IA</t>
  </si>
  <si>
    <t>Adobe - Recursos de IA generativa (Firefly/Acrobat)</t>
  </si>
  <si>
    <t>Google NotebookLM</t>
  </si>
  <si>
    <t>Google - Pesquisa e síntese</t>
  </si>
  <si>
    <t>Gamma</t>
  </si>
  <si>
    <t>Geração de apresentações com IA</t>
  </si>
  <si>
    <t>Chat Copilot</t>
  </si>
  <si>
    <t>Microsoft - Copilot Chat (gratuito)</t>
  </si>
  <si>
    <t>TOTAL</t>
  </si>
  <si>
    <t>Gasto consolidado com IA</t>
  </si>
  <si>
    <t>Indicadores Chave</t>
  </si>
  <si>
    <t>Custo Mensal Total (R$)</t>
  </si>
  <si>
    <t>Custo Anual Projetado (R$)</t>
  </si>
  <si>
    <t>Número de Ferramentas</t>
  </si>
  <si>
    <t>Ferramentas Pagas</t>
  </si>
  <si>
    <t>Ferramentas Gratuitas</t>
  </si>
  <si>
    <t>Maior gasto mensal (R$)</t>
  </si>
  <si>
    <t>Ticket médio por ferramenta paga (R$)</t>
  </si>
  <si>
    <t>Legenda:</t>
  </si>
  <si>
    <t>Texto azul = valores de entrada (alterar para simular cenários)</t>
  </si>
  <si>
    <t>Texto preto = fórmulas calculadas automaticamente</t>
  </si>
  <si>
    <t>Texto verde = ferramenta gratuita (custo zero)</t>
  </si>
  <si>
    <t>Contratos anuais (Builder360 e Assistente R&amp;D): mensal calculado como anual/12</t>
  </si>
  <si>
    <t>Usuários com mais de uma ferramenta de IA  (exclui Chat Copilot)</t>
  </si>
  <si>
    <t>Total: 16 usuários | Custo mensal individual e consolidado por ferramentas combinadas</t>
  </si>
  <si>
    <t>#</t>
  </si>
  <si>
    <t>Nome</t>
  </si>
  <si>
    <t>Área</t>
  </si>
  <si>
    <t>Cargo</t>
  </si>
  <si>
    <t>Ferramentas utilizadas (com tier Claude)</t>
  </si>
  <si>
    <t>Qtd</t>
  </si>
  <si>
    <t>Custo Mensal</t>
  </si>
  <si>
    <t>Custo Anual</t>
  </si>
  <si>
    <t>Rodrigo da Rosa Walter</t>
  </si>
  <si>
    <t>CC</t>
  </si>
  <si>
    <t>Especialista em Inovação e Atendimento Digital</t>
  </si>
  <si>
    <t>Adobe IA + ChatGPT + Claude (Standard) + NotebookLM</t>
  </si>
  <si>
    <t>Rodrigo Franco Nunes</t>
  </si>
  <si>
    <t>Luis Fernando Garuti</t>
  </si>
  <si>
    <t>Manuela Bolsonaro Ferreira Lima Miziara</t>
  </si>
  <si>
    <t>Coordenador(a) em Sucesso do Cliente</t>
  </si>
  <si>
    <t>ChatGPT + Claude (Standard) + Gamma + NotebookLM</t>
  </si>
  <si>
    <t>Luiz Augusto Ribeiro Ferro</t>
  </si>
  <si>
    <t>Adobe IA + ChatGPT + Claude (Standard)</t>
  </si>
  <si>
    <t>Rodolfo Americo Rodrigues Martins</t>
  </si>
  <si>
    <t>Livia Piovesan e Sa Zepponi</t>
  </si>
  <si>
    <t>Vice-Presidente</t>
  </si>
  <si>
    <t>ChatGPT + Claude (Standard) + Gamma</t>
  </si>
  <si>
    <t>Gean Marcelo Vailatti</t>
  </si>
  <si>
    <t>R&amp;D</t>
  </si>
  <si>
    <t>Arquiteto(a) de Software</t>
  </si>
  <si>
    <t>Claude (Premium) + GitHub Copilot</t>
  </si>
  <si>
    <t>Edison Henrique Andreassy</t>
  </si>
  <si>
    <t>Joao Guilherme Rossanesi Matos</t>
  </si>
  <si>
    <t>Analista DEVOPS Pl</t>
  </si>
  <si>
    <t>Andre Carlos Dias Silva</t>
  </si>
  <si>
    <t>ChatGPT + Claude (Standard)</t>
  </si>
  <si>
    <t>Thais Karoline Bernaski</t>
  </si>
  <si>
    <t>G&amp;A</t>
  </si>
  <si>
    <t>Desenvolvedor(a) Jr</t>
  </si>
  <si>
    <t>Claude (Standard) + GitHub Copilot</t>
  </si>
  <si>
    <t>Paulo Ricardo de Oliveira Freitas Rodrigues</t>
  </si>
  <si>
    <t>Washington Borges Rosa</t>
  </si>
  <si>
    <t>Desenvolvedor(a) Sr</t>
  </si>
  <si>
    <t>Fernando Dias Rozas</t>
  </si>
  <si>
    <t>Analista de Sistemas Sr</t>
  </si>
  <si>
    <t>Henrique Bespalhuk Facci</t>
  </si>
  <si>
    <t>TOTAL — 16 usuários multi-ferramenta</t>
  </si>
  <si>
    <t>Distribuição:  4 ferramentas: 4 usuário(s) — R$ 3239,60/mês  |  3 ferramentas: 3 usuário(s) — R$ 2276,00/mês  |  2 ferramentas: 9 usuário(s) — R$ 5152,00/mês</t>
  </si>
  <si>
    <t>4 ferramentas (atenção)</t>
  </si>
  <si>
    <t>3 ferramentas (observar)</t>
  </si>
  <si>
    <t>IA Operacional - Excluindo Contratos R&amp;D</t>
  </si>
  <si>
    <t>Visão sem Builder360 R&amp;D e Assistente Inteligente R&amp;D | Referência: Maio/2026</t>
  </si>
  <si>
    <t>Gasto consolidado de IA operacional</t>
  </si>
  <si>
    <t>Comparativo: Com R&amp;D x Sem R&amp;D</t>
  </si>
  <si>
    <t>Total Mensal (sem R&amp;D)</t>
  </si>
  <si>
    <t>Total Anual (sem R&amp;D)</t>
  </si>
  <si>
    <t>Total Mensal (com R&amp;D - Aba Resumo Executivo)</t>
  </si>
  <si>
    <t>Total Anual (com R&amp;D - Aba Resumo Executivo)</t>
  </si>
  <si>
    <t>Contratos R&amp;D Mensal</t>
  </si>
  <si>
    <t>Contratos R&amp;D Anual</t>
  </si>
  <si>
    <t>% R&amp;D no total</t>
  </si>
  <si>
    <t>Texto verde = ferramenta gratuita / referência cruzada com outra aba</t>
  </si>
  <si>
    <t>Aba útil para discutir o gasto de IA excluindo contratos estratégicos de P&amp;D</t>
  </si>
  <si>
    <t>Custos de IA por Área</t>
  </si>
  <si>
    <t>Distribuição do investimento por área da empresa | Fortics → CC | Contratos R&amp;D → R&amp;D</t>
  </si>
  <si>
    <t>Resumo Consolidado por Área</t>
  </si>
  <si>
    <t>Descrição</t>
  </si>
  <si>
    <t>Usuários únicos</t>
  </si>
  <si>
    <t>% do Total</t>
  </si>
  <si>
    <t>Research &amp; Development</t>
  </si>
  <si>
    <t>Customer Care</t>
  </si>
  <si>
    <t>General &amp; Administrative</t>
  </si>
  <si>
    <t>PS</t>
  </si>
  <si>
    <t>Professional Services</t>
  </si>
  <si>
    <t>S&amp;M</t>
  </si>
  <si>
    <t>Sales &amp; Marketing</t>
  </si>
  <si>
    <t>Gasto consolidado por área</t>
  </si>
  <si>
    <t>Observação: O total acima reflete apenas licenças alocadas a usuários identificados (R$ 199.215,60/mês). O total contratado no Resumo Executivo é R$ 199.772,00/mês — diferença de R$ 556,40 corresponde a 1 licença ChatGPT ociosa (R$ 510) e 1 licença NotebookLM ociosa (R$ 46,40).</t>
  </si>
  <si>
    <t>Detalhamento por Área — Composição do Gasto</t>
  </si>
  <si>
    <t>R&amp;D  •  Research &amp; Development  •  Mensal: R$ 166.520,00  •  Anual: R$ 1.998.240,00</t>
  </si>
  <si>
    <t>Usuários</t>
  </si>
  <si>
    <t>% da Área</t>
  </si>
  <si>
    <t>Observação</t>
  </si>
  <si>
    <t>—</t>
  </si>
  <si>
    <t>Contrato / plataforma (sem licenciamento por usuário)</t>
  </si>
  <si>
    <t>Premium: 25 | Standard: 11</t>
  </si>
  <si>
    <t>CC  •  Customer Care  •  Mensal: R$ 15.553,60  •  Anual: R$ 186.643,20</t>
  </si>
  <si>
    <t>Premium: 0 | Standard: 16</t>
  </si>
  <si>
    <t>NotebookLM</t>
  </si>
  <si>
    <t>G&amp;A  •  General &amp; Administrative  •  Mensal: R$ 13.222,00  •  Anual: R$ 158.664,00</t>
  </si>
  <si>
    <t>Premium: 11 | Standard: 37</t>
  </si>
  <si>
    <t>PS  •  Professional Services  •  Mensal: R$ 2.800,00  •  Anual: R$ 33.600,00</t>
  </si>
  <si>
    <t>Premium: 0 | Standard: 20</t>
  </si>
  <si>
    <t>S&amp;M  •  Sales &amp; Marketing  •  Mensal: R$ 1.120,00  •  Anual: R$ 13.440,00</t>
  </si>
  <si>
    <t>Premium: 0 | Standard: 8</t>
  </si>
  <si>
    <t>Custos de IA por Área — Sem Contratos R&amp;D</t>
  </si>
  <si>
    <t>Visão excluindo Builder360 R&amp;D e Assistente Inteligente R&amp;D | Fortics → CC</t>
  </si>
  <si>
    <t>Resumo Consolidado por Área (IA Operacional)</t>
  </si>
  <si>
    <t>IA operacional (sem contratos R&amp;D)</t>
  </si>
  <si>
    <t>Comparativo: Com R&amp;D × Sem R&amp;D</t>
  </si>
  <si>
    <t>Total Mensal (sem R&amp;D - aqui)</t>
  </si>
  <si>
    <t>Total Anual (sem R&amp;D - aqui)</t>
  </si>
  <si>
    <t>Total Mensal (com R&amp;D - aba Custo por Área)</t>
  </si>
  <si>
    <t>Total Anual (com R&amp;D - aba Custo por Área)</t>
  </si>
  <si>
    <t>Diferença mensal (= contratos R&amp;D)</t>
  </si>
  <si>
    <t>% economia se cancelados os contratos R&amp;D</t>
  </si>
  <si>
    <t>Detalhamento por Área — Composição do Gasto (sem contratos R&amp;D)</t>
  </si>
  <si>
    <t>R&amp;D  •  Research &amp; Development  •  Mensal: R$ 22.770,00  •  Anual: R$ 273.240,00</t>
  </si>
  <si>
    <t>Plataforma de atendimento (sem licenciamento por usuário)</t>
  </si>
  <si>
    <t>Usuários por Ferramenta de IA</t>
  </si>
  <si>
    <t>Listagem nominal por licença | Custo por usuário (Claude: Standard R$ 140 / Premium R$ 670) | Dados QL 05/2026</t>
  </si>
  <si>
    <t>Claude  (128 listados / 128 licenças)  •  Standard: R$ 140,00  |  Premium: R$ 670,00</t>
  </si>
  <si>
    <t>E-mail</t>
  </si>
  <si>
    <t>Cargo / Função</t>
  </si>
  <si>
    <t>Gestor Imediato</t>
  </si>
  <si>
    <t>Tier / Plano</t>
  </si>
  <si>
    <t>Custo Mensal/Usuário</t>
  </si>
  <si>
    <t>Alcenir Vergilio Negri</t>
  </si>
  <si>
    <t>alcenir.negri@governancabrasil.com.br</t>
  </si>
  <si>
    <t>Analista de Negocios Pl</t>
  </si>
  <si>
    <t>Jader Elias Franz</t>
  </si>
  <si>
    <t>Premium</t>
  </si>
  <si>
    <t>Alessandro Cesar Torido</t>
  </si>
  <si>
    <t>alessandro.torido@governancabrasil.com.br</t>
  </si>
  <si>
    <t>Gerente de Operacoes de TI</t>
  </si>
  <si>
    <t>Rafael Goncalves Denardi</t>
  </si>
  <si>
    <t>Andre Vieira da Costa</t>
  </si>
  <si>
    <t>andre.costa@governancabrasil.com.br</t>
  </si>
  <si>
    <t>Christian Rita de Moura</t>
  </si>
  <si>
    <t>christian.moura@governancabrasil.com.br</t>
  </si>
  <si>
    <t>Gerente de Gente e Cultura</t>
  </si>
  <si>
    <t>Marcelo Ferreira Chaves de Oliveira Lima</t>
  </si>
  <si>
    <t>Cleber Nardelli</t>
  </si>
  <si>
    <t>cleber.nardelli@governancabrasil.com.br</t>
  </si>
  <si>
    <t>Gerente de Tecnologia e Pesquisa</t>
  </si>
  <si>
    <t>Ivan Correia Filagrana</t>
  </si>
  <si>
    <t>Davi Marin Rodrigues Silva</t>
  </si>
  <si>
    <t>davi.silva@governancabrasil.com.br</t>
  </si>
  <si>
    <t>Debora Cristina Leira Ramos</t>
  </si>
  <si>
    <t>debora.ramos@governancabrasil.com.br</t>
  </si>
  <si>
    <t>Gerente de Desenvolvimento</t>
  </si>
  <si>
    <t>Saulo Reschke Parizotto</t>
  </si>
  <si>
    <t>Denis Augusto Vicentainer</t>
  </si>
  <si>
    <t>denis.vicentainer@governancabrasil.com.br</t>
  </si>
  <si>
    <t>Engenheiro(a) de Inteligência Artificial (IA)</t>
  </si>
  <si>
    <t>Joao Vitor Miguel</t>
  </si>
  <si>
    <t>Djeferson Preis</t>
  </si>
  <si>
    <t>djeferson.preis@governancabrasil.com.br</t>
  </si>
  <si>
    <t>henrique.andreassy@governancabrasil.com.br</t>
  </si>
  <si>
    <t>Flavio Luiz Junior da Silva</t>
  </si>
  <si>
    <t>flavio.silva@governancabrasil.com.br</t>
  </si>
  <si>
    <t>Frederico Marques Lourente</t>
  </si>
  <si>
    <t>frederico.lourente@governancabrasil.com.br</t>
  </si>
  <si>
    <t>Gerente de Produto</t>
  </si>
  <si>
    <t>Gabriel Theiss</t>
  </si>
  <si>
    <t>gabriel.theiss@governancabrasil.com.br</t>
  </si>
  <si>
    <t>gean.vailatti@governancabrasil.com.br</t>
  </si>
  <si>
    <t>Sulema Munoz Montesino Andreassy</t>
  </si>
  <si>
    <t>Guilherme Serafin de Carvalho</t>
  </si>
  <si>
    <t>guilherme.carvalho@governancabrasil.com.br</t>
  </si>
  <si>
    <t>Ionara de Cassia Maggi Bemfica Sachet</t>
  </si>
  <si>
    <t>ionara.sachet@governancabrasil.com.br</t>
  </si>
  <si>
    <t>Isabela Piardi</t>
  </si>
  <si>
    <t>isabela.piardi@governancabrasil.com.br</t>
  </si>
  <si>
    <t>Ivan Alexandre Bazzilli Caliari</t>
  </si>
  <si>
    <t>ivan.caliari@governancabrasil.com.br</t>
  </si>
  <si>
    <t>Gerente de Planejamento Financeiro</t>
  </si>
  <si>
    <t>ivan.filagrana@governancabrasil.com.br</t>
  </si>
  <si>
    <t>Tiago Padilha Serpa</t>
  </si>
  <si>
    <t>jader.franz@governancabrasil.com.br</t>
  </si>
  <si>
    <t>Jeferson Penz</t>
  </si>
  <si>
    <t>jeferson.penz@governancabrasil.com.br</t>
  </si>
  <si>
    <t>joao.matos@governancabrasil.com.br</t>
  </si>
  <si>
    <t>Johann Sebastian Chacorowski Klemann</t>
  </si>
  <si>
    <t>johann.klemann@governancabrasil.com.br</t>
  </si>
  <si>
    <t>Aprendiz (Administrativo(a))</t>
  </si>
  <si>
    <t>Juliana Alves dos Santos</t>
  </si>
  <si>
    <t>juliana.alves@governancabrasil.com.br</t>
  </si>
  <si>
    <t>Lider de Gente e Cultura</t>
  </si>
  <si>
    <t>Larissa Constantino</t>
  </si>
  <si>
    <t>larissa.constantino@governancabrasil.com.br</t>
  </si>
  <si>
    <t>Analista de Gente e Cultura Sr</t>
  </si>
  <si>
    <t>Priscila Carine Budag Nunes</t>
  </si>
  <si>
    <t>Leirson Helio Schiestl</t>
  </si>
  <si>
    <t>leirson.schiestl@governancabrasil.com.br</t>
  </si>
  <si>
    <t>Lucas Manerich</t>
  </si>
  <si>
    <t>lucas.manerich@governancabrasil.com.br</t>
  </si>
  <si>
    <t>Nemuel Ruan Ferreira de Sousa</t>
  </si>
  <si>
    <t>nemuel.sousa@governancabrasil.com.br</t>
  </si>
  <si>
    <t>Analista DEVOPS Sr</t>
  </si>
  <si>
    <t>Pietro Costa Giuliani</t>
  </si>
  <si>
    <t>pietro.giuliani@governancabrasil.com.br</t>
  </si>
  <si>
    <t>Analista de Negocios Jr</t>
  </si>
  <si>
    <t>priscila.budag@governancabrasil.com.br</t>
  </si>
  <si>
    <t>Lider de Departamento Pessoal</t>
  </si>
  <si>
    <t>Ricardo Miranda Ianni</t>
  </si>
  <si>
    <t>ricardo.ianni@governancabrasil.com.br</t>
  </si>
  <si>
    <t>Analista de Sistemas Pl</t>
  </si>
  <si>
    <t>Rodrigo Soares</t>
  </si>
  <si>
    <t>rodrigo.soares@governancabrasil.com.br</t>
  </si>
  <si>
    <t>saulo.parizotto@governancabrasil.com.br</t>
  </si>
  <si>
    <t>Gerente Senior de Desenvolvimento</t>
  </si>
  <si>
    <t>Sofia Nogueira Flores</t>
  </si>
  <si>
    <t>sofia.flores@governancabrasil.com.br</t>
  </si>
  <si>
    <t>Analista de Gente e Cultura Jr</t>
  </si>
  <si>
    <t>Thalles Lopes de Oliveira</t>
  </si>
  <si>
    <t>thalles.oliveira@governancabrasil.com.br</t>
  </si>
  <si>
    <t>Especialista em People Analytics</t>
  </si>
  <si>
    <t>Willian Filipe da Silva</t>
  </si>
  <si>
    <t>willian.silva@governancabrasil.com.br</t>
  </si>
  <si>
    <t>Ademir Vieira da Silva Endlich</t>
  </si>
  <si>
    <t>ademir.vieira@governancabrasil.com.br</t>
  </si>
  <si>
    <t>Gerente de Servicos</t>
  </si>
  <si>
    <t>Thiago Roberto Nogueira</t>
  </si>
  <si>
    <t>Standard</t>
  </si>
  <si>
    <t>Adenor Reiter Neto</t>
  </si>
  <si>
    <t>adenor.neto@governancabrasil.com.br</t>
  </si>
  <si>
    <t>Analista Contabil Pl</t>
  </si>
  <si>
    <t>Alexandre do Nascimento</t>
  </si>
  <si>
    <t>alexandre.nascimento@governancabrasil.com.br</t>
  </si>
  <si>
    <t>Coordenador(a) Contabil</t>
  </si>
  <si>
    <t>Flavio de Freitas</t>
  </si>
  <si>
    <t>Alexandre Gaklik</t>
  </si>
  <si>
    <t>alexandre.gaklik@governancabrasil.com.br</t>
  </si>
  <si>
    <t>Consultor(a) de Produto Sr</t>
  </si>
  <si>
    <t>Gabriel Bosi Polli</t>
  </si>
  <si>
    <t>Amanda Louise Vieira</t>
  </si>
  <si>
    <t>amanda.vieira@governancabrasil.com.br</t>
  </si>
  <si>
    <t>andre.silva@governancabrasil.com.br</t>
  </si>
  <si>
    <t>Andressa Micheluzzi</t>
  </si>
  <si>
    <t>andressa.micheluzzi@governancabrasil.com.br</t>
  </si>
  <si>
    <t>Assis de Barros Nascimento</t>
  </si>
  <si>
    <t>assis.nascimento@governancabrasil.com.br</t>
  </si>
  <si>
    <t>Coordenador(a) de TI</t>
  </si>
  <si>
    <t>Bruna da Silveira Ojeda</t>
  </si>
  <si>
    <t>bruna.ojeda@governancabrasil.com.br</t>
  </si>
  <si>
    <t>Coordenador(a) de Suporte</t>
  </si>
  <si>
    <t>Yansen Martins Poco</t>
  </si>
  <si>
    <t>Bruno Hott de Freitas</t>
  </si>
  <si>
    <t>bruno.freitas@governancabrasil.com.br</t>
  </si>
  <si>
    <t>Camila Vanessa Sevegnani</t>
  </si>
  <si>
    <t>camila.sevegnani@governancabrasil.com.br</t>
  </si>
  <si>
    <t>Analista de Gente e Cultura Pl</t>
  </si>
  <si>
    <t>Camila Vargas de Campos</t>
  </si>
  <si>
    <t>camila.campos@governancabrasil.com.br</t>
  </si>
  <si>
    <t>Sheila Cristina Basotti</t>
  </si>
  <si>
    <t>Danilo Aparecido Dellaspora</t>
  </si>
  <si>
    <t>danilo.dellaspora@governancabrasil.com.br</t>
  </si>
  <si>
    <t>Coordenador(a) de Servicos</t>
  </si>
  <si>
    <t>Carlos Alberto Frequete de Macedo</t>
  </si>
  <si>
    <t>Dilvani Correa de Oliveira</t>
  </si>
  <si>
    <t>dilvani.correa@governancabrasil.com.br</t>
  </si>
  <si>
    <t>Coordenador(a) Planejamento de Produto</t>
  </si>
  <si>
    <t>Equipe de Marketing</t>
  </si>
  <si>
    <t>marketing@governancabrasil.com.br</t>
  </si>
  <si>
    <t>Marketing</t>
  </si>
  <si>
    <t>Miguel</t>
  </si>
  <si>
    <t>Evandro Paris</t>
  </si>
  <si>
    <t>evandro.paris@governancabrasil.com.br</t>
  </si>
  <si>
    <t>Consultor(a) de Negocios Jr</t>
  </si>
  <si>
    <t>Luiz Carlos Biazi Junior</t>
  </si>
  <si>
    <t>Fernanda Bubniak Schramm</t>
  </si>
  <si>
    <t>fernanda.schramm@governancabrasil.com.br</t>
  </si>
  <si>
    <t>Analista Adm Despesas Jr</t>
  </si>
  <si>
    <t>Vanessa Bittencourt Bandeira dos Reis</t>
  </si>
  <si>
    <t>fernando.rozas@governancabrasil.com.br</t>
  </si>
  <si>
    <t>Fillipi Garcia Madrid</t>
  </si>
  <si>
    <t>Fillipi.Madrid@governancabrasil.com.br</t>
  </si>
  <si>
    <t>flavio.freitas@governancabrasil.com.br</t>
  </si>
  <si>
    <t>Gerente Contábil</t>
  </si>
  <si>
    <t>Gabriel Alves Pinto</t>
  </si>
  <si>
    <t>gabriel.pinto@governancabrasil.com.br</t>
  </si>
  <si>
    <t>Tecnico(a) de Produto Nacional Jr</t>
  </si>
  <si>
    <t>Gabrielle Dellagostin Walker</t>
  </si>
  <si>
    <t>gabriel.polli@governancabrasil.com.br</t>
  </si>
  <si>
    <t>gabrielle.walker@governancabrasil.com.br</t>
  </si>
  <si>
    <t>Gestão Infra</t>
  </si>
  <si>
    <t>gestao.infra@governancabrasil.com.br</t>
  </si>
  <si>
    <t>Técnico de Infraestrutura</t>
  </si>
  <si>
    <t>Assis Nascimento</t>
  </si>
  <si>
    <t>Giovani Kemper</t>
  </si>
  <si>
    <t>giovani.kemper@governancabrasil.com.br</t>
  </si>
  <si>
    <t>Coordenador(a) de Operacoes</t>
  </si>
  <si>
    <t>Marcos Vinicius dos Santos Pereira</t>
  </si>
  <si>
    <t>Grace Kelly Schmitt Cortes Vasquez</t>
  </si>
  <si>
    <t>grace.vasquez@governancabrasil.com.br</t>
  </si>
  <si>
    <t>Graciele Meire Ferreira</t>
  </si>
  <si>
    <t>graciele.ferreira@governancabrasil.com.br</t>
  </si>
  <si>
    <t>Assistente de Gente e Cultura</t>
  </si>
  <si>
    <t>Guilherme Ambrosio Antunes</t>
  </si>
  <si>
    <t>guilherme.antunes@governancabrasil.com.br</t>
  </si>
  <si>
    <t>Consultor(a) de Produto Pl</t>
  </si>
  <si>
    <t>Guilherme Craco Silva</t>
  </si>
  <si>
    <t>guilherme.silva@governancabrasil.com.br</t>
  </si>
  <si>
    <t>Gustavo Felipe Soares</t>
  </si>
  <si>
    <t>gustavo.soares@governancabrasil.com.br</t>
  </si>
  <si>
    <t>Analista de Dados Pl</t>
  </si>
  <si>
    <t>henrique.facci@governancabrasil.com.br</t>
  </si>
  <si>
    <t>Igor Thiago Balsanelli Martins</t>
  </si>
  <si>
    <t>igor.martins@governancabrasil.com.br</t>
  </si>
  <si>
    <t>Analista SRE</t>
  </si>
  <si>
    <t>Ingrid Hinkeldey</t>
  </si>
  <si>
    <t>ingrid.hinkeldey@governancabrasil.com.br</t>
  </si>
  <si>
    <t>Assistente Contabil</t>
  </si>
  <si>
    <t>Iober Henrique da Cruz</t>
  </si>
  <si>
    <t>iober.cruz@governancabrasil.com.br</t>
  </si>
  <si>
    <t>Administrador(a) de Dados Pl</t>
  </si>
  <si>
    <t>Paulo Diego Lemke Nunes</t>
  </si>
  <si>
    <t>Jaqueline Aparecida Michalack</t>
  </si>
  <si>
    <t>jaqueline.michalack@governancabrasil.com.br</t>
  </si>
  <si>
    <t>Jarom Sambrana da Rosa</t>
  </si>
  <si>
    <t>jarom.Rosa@governancabrasil.com.br</t>
  </si>
  <si>
    <t>Jean Fernando Sassi</t>
  </si>
  <si>
    <t>jean.sassi@governancabrasil.com.br</t>
  </si>
  <si>
    <t>Jessica Cristina Fortunato da Costa</t>
  </si>
  <si>
    <t>jessica.fortunato@governancabrasil.com.br</t>
  </si>
  <si>
    <t>Jessica Tamara Silva</t>
  </si>
  <si>
    <t>jessica.silva@governancabrasil.com.br</t>
  </si>
  <si>
    <t>Assistente Administrativo(a) II</t>
  </si>
  <si>
    <t>Katia Regina Steil</t>
  </si>
  <si>
    <t>Joao Guilherme Koehler Filho</t>
  </si>
  <si>
    <t>joao.guilherme@governancabrasil.com.br</t>
  </si>
  <si>
    <t>Especialista em Estratégia de Vendas</t>
  </si>
  <si>
    <t>Miguel Oliveira Moreira Junior</t>
  </si>
  <si>
    <t>Joaquim Batista Junior</t>
  </si>
  <si>
    <t>joaquim.junior@governancabrasil.com.br</t>
  </si>
  <si>
    <t>Jorge Lucas Martins</t>
  </si>
  <si>
    <t>jorge.martins@governancabrasil.com.br</t>
  </si>
  <si>
    <t>Analista de Infraestrutura Cloud Sr</t>
  </si>
  <si>
    <t>Kamila Santos Silveira</t>
  </si>
  <si>
    <t>kamila.silveira@governancabrasil.com.br</t>
  </si>
  <si>
    <t>Especialista de Operacoes de Vendas</t>
  </si>
  <si>
    <t>Rodrigo Gomes Braga</t>
  </si>
  <si>
    <t>katia.steil@governancabrasil.com.br</t>
  </si>
  <si>
    <t>Gerente Financeiro(a)</t>
  </si>
  <si>
    <t>Kaua Garcez Buchweitz</t>
  </si>
  <si>
    <t>kaua.buchweitz@governancabrasil.com.br</t>
  </si>
  <si>
    <t>Analista de Dados Jr</t>
  </si>
  <si>
    <t>Larissa Dutra</t>
  </si>
  <si>
    <t>larissa.dutra@governancabrasil.com.br</t>
  </si>
  <si>
    <t>Leonardo Severino Rosa</t>
  </si>
  <si>
    <t>leonardo.rosa@governancabrasil.com.br</t>
  </si>
  <si>
    <t>Gerente de Grandes Contas</t>
  </si>
  <si>
    <t>livia.sa@governancabrasil.com.br</t>
  </si>
  <si>
    <t>Luana Lemes Ferreira Novaes</t>
  </si>
  <si>
    <t>luana.novaes@governancabrasil.com.br</t>
  </si>
  <si>
    <t>Lucas Bittencourt Ferreira</t>
  </si>
  <si>
    <t>Lucas.Ferreira@governancabrasil.com.br</t>
  </si>
  <si>
    <t>luiz.garuti@governancabrasil.com.br</t>
  </si>
  <si>
    <t>Luis Guilherme Furlan Buck de Oliveira</t>
  </si>
  <si>
    <t>luis.oliveira@governancabrasil.com.br</t>
  </si>
  <si>
    <t>Coordenador(a) de Licitacoes e Contratos</t>
  </si>
  <si>
    <t>Roberlei Cesar Fernandes</t>
  </si>
  <si>
    <t>Luiz Antonio Fontana Pagani</t>
  </si>
  <si>
    <t>luiz.pagani@governancabrasil.com.br</t>
  </si>
  <si>
    <t>Analista de Infraestrutura TI Jr</t>
  </si>
  <si>
    <t>luiz.ferro@governancabrasil.com.br</t>
  </si>
  <si>
    <t>Luiz Gustavo de Avila Giusto</t>
  </si>
  <si>
    <t>luiz.giusto@governancabrasil.com.br</t>
  </si>
  <si>
    <t>Madeleine Tais Moura de Souza</t>
  </si>
  <si>
    <t>madeleine.souza@governancabrasil.com.br</t>
  </si>
  <si>
    <t>manuela.miziara@governancabrasil.com.br</t>
  </si>
  <si>
    <t>Mara Serafin</t>
  </si>
  <si>
    <t>mara.serafin@governancabrasil.com.br</t>
  </si>
  <si>
    <t>Analista Adm Receitas Jr</t>
  </si>
  <si>
    <t>Marcelo Camacho Nunes</t>
  </si>
  <si>
    <t>marcelo.nunes@governancabrasil.com.br</t>
  </si>
  <si>
    <t>Analista de Processos Sr</t>
  </si>
  <si>
    <t>marcelo.lima@governancabrasil.com.br</t>
  </si>
  <si>
    <t>CHRO &amp; CCO</t>
  </si>
  <si>
    <t>Henrique Barreto</t>
  </si>
  <si>
    <t>Marcelo Rodrigues</t>
  </si>
  <si>
    <t>marcelo.rodrigues@governancabrasil.com.br</t>
  </si>
  <si>
    <t>Especialista de Inteligencia Comercial</t>
  </si>
  <si>
    <t>marcos.pereira@governancabrasil.com.br</t>
  </si>
  <si>
    <t>Matheus Davies Guerra</t>
  </si>
  <si>
    <t>matheus.guerra@governancabrasil.com.br</t>
  </si>
  <si>
    <t>Patricia Correia de Araujo</t>
  </si>
  <si>
    <t>Patricia.Araujo@governancabrasil.com.br</t>
  </si>
  <si>
    <t>Patrick Jean dos Santos Vieira</t>
  </si>
  <si>
    <t>patrick.vieira@governancabrasil.com.br</t>
  </si>
  <si>
    <t>Analista de Inteligencia de Mercado Jr</t>
  </si>
  <si>
    <t>Paulo Alberto Correia Goncalves</t>
  </si>
  <si>
    <t>paulo.goncalves@governancabrasil.com.br</t>
  </si>
  <si>
    <t>Analista de Infraestrutura Pl</t>
  </si>
  <si>
    <t>Paulo Cesar Siquiero Filho</t>
  </si>
  <si>
    <t>paulo.siquiero@governancabrasil.com.br</t>
  </si>
  <si>
    <t>paulo.rodrigues@governancabrasil.com.br</t>
  </si>
  <si>
    <t>RAFAEL.DENARDI@governancabrasil.com.br</t>
  </si>
  <si>
    <t>CFO</t>
  </si>
  <si>
    <t>Rafael Radunz</t>
  </si>
  <si>
    <t>rafael.radunz@governancabrasil.com.br</t>
  </si>
  <si>
    <t>Desenvolvedor(a) Pl</t>
  </si>
  <si>
    <t>Rafael Ruiz Zanim</t>
  </si>
  <si>
    <t>rafael.zanim@governancabrasil.com.br</t>
  </si>
  <si>
    <t>Roberlei</t>
  </si>
  <si>
    <t>roberlei.fernandes@governancabrasil.com.br</t>
  </si>
  <si>
    <t>Diretor</t>
  </si>
  <si>
    <t>rodolfo.martins@governancabrasil.com.br</t>
  </si>
  <si>
    <t>Rodrigo.Walter@governancabrasil.com.br</t>
  </si>
  <si>
    <t>rodrigo.franco@governancabrasil.com.br</t>
  </si>
  <si>
    <t>rodrigo.braga@governancabrasil.com.br</t>
  </si>
  <si>
    <t>Diretor(a)</t>
  </si>
  <si>
    <t>Rose Marli Frehner Cardouzo</t>
  </si>
  <si>
    <t>ROSE.CARDOUZO@governancabrasil.com.br</t>
  </si>
  <si>
    <t>Analista Financeiro Sr</t>
  </si>
  <si>
    <t>sheila.Basotti@governancabrasil.com.br</t>
  </si>
  <si>
    <t>Tatiane Resquiti Paulino</t>
  </si>
  <si>
    <t>tatiane.paulino@governancabrasil.com.br</t>
  </si>
  <si>
    <t>Assistente Adm Receitas I</t>
  </si>
  <si>
    <t>thais.bernaski@governancabrasil.com.br</t>
  </si>
  <si>
    <t>Thaisa Regina Kruger Dupim</t>
  </si>
  <si>
    <t>thaisa.dupim@governancabrasil.com.br</t>
  </si>
  <si>
    <t>Analista de Processos Jr</t>
  </si>
  <si>
    <t>thiago.nogueira@governancabrasil.com.br</t>
  </si>
  <si>
    <t>Gerente Nacional de Servicos Profissionais</t>
  </si>
  <si>
    <t>Tiago Bertoncello Pagliosa</t>
  </si>
  <si>
    <t>tiago.pagliosa@governancabrasil.com.br</t>
  </si>
  <si>
    <t>Analista de Infraestrutura TI Pl</t>
  </si>
  <si>
    <t>tiago.serpa@governancabrasil.com.br</t>
  </si>
  <si>
    <t>COO</t>
  </si>
  <si>
    <t>Valeria Patricia Dias</t>
  </si>
  <si>
    <t>valeria.dias@governancabrasil.com.br</t>
  </si>
  <si>
    <t>Analista DEVOPS Jr</t>
  </si>
  <si>
    <t>vanessa.reis@governancabrasil.com.br</t>
  </si>
  <si>
    <t>Gerente Administrativo</t>
  </si>
  <si>
    <t>Vanessa Karoliny Martins Marcal Alves</t>
  </si>
  <si>
    <t>vanessa.alves@governancabrasil.com.br</t>
  </si>
  <si>
    <t>Analista de Infraestrutura Cloud Jr</t>
  </si>
  <si>
    <t>Vitor Hugo Ferreira Conceicao</t>
  </si>
  <si>
    <t>Vitor.Conceicao@governancabrasil.com.br</t>
  </si>
  <si>
    <t>Consultor(a) de Negocios Pl</t>
  </si>
  <si>
    <t>washington.rosa@governancabrasil.com.br</t>
  </si>
  <si>
    <t>William Rosa</t>
  </si>
  <si>
    <t>william.rosa@governancabrasil.com.br</t>
  </si>
  <si>
    <t>yansen.martins@governancabrasil.com.br</t>
  </si>
  <si>
    <t>Gerente de Customer Sucess</t>
  </si>
  <si>
    <t>Yasmine Lima de Oliveira</t>
  </si>
  <si>
    <t>yasmine.oliveira@governancabrasil.com.br</t>
  </si>
  <si>
    <t>Distribuição Claude por Área: G&amp;A: 48 | R&amp;D: 36 | PS: 20 | CC: 16 | S&amp;M: 8</t>
  </si>
  <si>
    <t>Resumo Claude: Premium 36 × R$ 670 = R$ 24.120.00  |  Standard 92 × R$ 140 = R$ 12.880.00  |  TOTAL: R$ 37.000.00/mês</t>
  </si>
  <si>
    <t>GitHub Copilot  (23 listados / 23 licenças)  •  R$ 224.00/usuário/mês</t>
  </si>
  <si>
    <t>Bruno Oliveira Lucindo</t>
  </si>
  <si>
    <t>bruno.lucindo@governancabrasil.com.br</t>
  </si>
  <si>
    <t>Alex Fernandes Gregio</t>
  </si>
  <si>
    <t>alex.gregio@governancabrasil.com.br</t>
  </si>
  <si>
    <t>Jean Marcello Matias do Amaral</t>
  </si>
  <si>
    <t>jean.amaral@governancabrasil.com.br</t>
  </si>
  <si>
    <t>Analista de Testes Pl</t>
  </si>
  <si>
    <t>Marcelino Rogerio Barbosa Junior</t>
  </si>
  <si>
    <t>marcelino.junior@governancabrasil.com.br</t>
  </si>
  <si>
    <t>Felipe Raphael Mareco Lamarao</t>
  </si>
  <si>
    <t>felipe.lamarao@governancabrasil.com.br</t>
  </si>
  <si>
    <t>Israel Moreira</t>
  </si>
  <si>
    <t>israel.moreira@governancabrasil.com.br</t>
  </si>
  <si>
    <t>Juana da Silva Pedreira</t>
  </si>
  <si>
    <t>juana.pedreira@governancabrasil.com.br</t>
  </si>
  <si>
    <t>Paulo Augusto Bredlau</t>
  </si>
  <si>
    <t>paulo.bredlau@governancabrasil.com.br</t>
  </si>
  <si>
    <t>Rodrigo Depine Dalpiaz</t>
  </si>
  <si>
    <t>rodrigo.dalpiaz@governancabrasil.com.br</t>
  </si>
  <si>
    <t>Eliane da Luz Felicio Adriano</t>
  </si>
  <si>
    <t>eliane.luz@governancabrasil.com.br</t>
  </si>
  <si>
    <t>Raul Luciano Morais dos Santos</t>
  </si>
  <si>
    <t>raul.santos@governancabrasil.com.br</t>
  </si>
  <si>
    <t>Analista de Testes Jr</t>
  </si>
  <si>
    <t>Amanda Palmas</t>
  </si>
  <si>
    <t>amanda.palmas@governancabrasil.com.br</t>
  </si>
  <si>
    <t>Analista QA Pl</t>
  </si>
  <si>
    <t>Lucas Henrique Duarte</t>
  </si>
  <si>
    <t>lucas.duarte@governancabrasil.com.br</t>
  </si>
  <si>
    <t>Analista QA</t>
  </si>
  <si>
    <t>Patricia Haase</t>
  </si>
  <si>
    <t>patricia.haase@governancabrasil.com.br</t>
  </si>
  <si>
    <t>Ricardo Cordeiro Silva</t>
  </si>
  <si>
    <t>ricardo.silva@governancabrasil.com.br</t>
  </si>
  <si>
    <t>Distribuição GitHub Copilot por Área: R&amp;D: 20 | G&amp;A: 3</t>
  </si>
  <si>
    <t>ChatGPT  (9 listados / 10 licenças)  •  R$ 510.00/usuário/mês</t>
  </si>
  <si>
    <t>Andrews Fernando da Silva</t>
  </si>
  <si>
    <t>andrews.silva@governancabrasil.com.br</t>
  </si>
  <si>
    <t>rodrigo.walter@governancabrasil.com.br</t>
  </si>
  <si>
    <t>Camila Ferreira Guedes</t>
  </si>
  <si>
    <t>camila.guedes@governancabrasil.com.br</t>
  </si>
  <si>
    <t>Analista de Inovacao e Atendimento Digital Jr</t>
  </si>
  <si>
    <t>Adobe IA  (5 listados / 5 licenças)  •  R$ 128.00/usuário/mês</t>
  </si>
  <si>
    <t>Google NotebookLM  (4 listados / 5 licenças)  •  R$ 46.40/usuário/mês</t>
  </si>
  <si>
    <t>Distribuição NotebookLM por Área: CC: 4</t>
  </si>
  <si>
    <t>Gamma  (2 listados / 2 licenças)  •  R$ 70.00/usuário/mês</t>
  </si>
  <si>
    <t>Chat Copilot  (0 listados / 520 licenças)  •  Gratuito</t>
  </si>
  <si>
    <t>(Lista de usuários pendente de preenchimento)</t>
  </si>
  <si>
    <t>Fortics  (0 listados / N/A licenças)</t>
  </si>
  <si>
    <t>Assistente Inteligente R&amp;D  (0 listados / N/A licenças)</t>
  </si>
  <si>
    <t>Builder360 R&amp;D  (0 listados / N/A licenças)</t>
  </si>
  <si>
    <t>Detalhamento por Ferramenta - Custo por Usuário</t>
  </si>
  <si>
    <t>Custo / Usuário / Mês (R$)</t>
  </si>
  <si>
    <t>Custo / Usuário / Ano (R$)</t>
  </si>
  <si>
    <t>N/A</t>
  </si>
  <si>
    <t>Contrato anual de R$ 1.250.000 (mensal = anual/12)</t>
  </si>
  <si>
    <t>Contrato anual de R$ 475.000 (mensal = anual/12)</t>
  </si>
  <si>
    <t>Plataforma (sem licenciamento por usuário)</t>
  </si>
  <si>
    <t>Disponível sem custo para a empresa</t>
  </si>
  <si>
    <t>Observações</t>
  </si>
  <si>
    <t>• Os valores de entrada (azul) podem ser editados — as fórmulas se recalculam automaticamente.</t>
  </si>
  <si>
    <t>• O custo médio por usuário difere significativamente entre ferramentas — útil para decisões de consolidação de licenças.</t>
  </si>
  <si>
    <t>• Fortics é cobrado como plataforma (não há licenciamento por usuário individual).</t>
  </si>
  <si>
    <t>• Builder360 R&amp;D é contrato anual fechado em R$ 1.250.000 — equivalente mensal de R$ 104.166,67.</t>
  </si>
  <si>
    <t>• Assistente Inteligente R&amp;D é contrato anual fechado em R$ 475.000 — equivalente mensal de R$ 39.583,33.</t>
  </si>
  <si>
    <t>• Chat Copilot (Microsoft) está disponível sem custo adicional — oportunidade de adoção ampla sem impacto financeiro.</t>
  </si>
  <si>
    <t>• Projeção anual = custo mensal × 12 (não considera reajustes contratuais).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</si>
</sst>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[Red]&quot;(R$ &quot;#,##0.00\);&quot;Gratuito&quot;"/>
    <numFmt numFmtId="165" formatCode="0.0%"/>
    <numFmt numFmtId="166" formatCode="&quot;R$ &quot;#,##0.00"/>
  </numFmts>
  <fonts count="3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40404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color rgb="FF008000"/>
      <name val="Arial"/>
      <charset val="1"/>
    </font>
    <font>
      <b/>
      <sz val="12"/>
      <color rgb="FFFFFFFF"/>
      <name val="Arial"/>
      <charset val="1"/>
    </font>
    <font>
      <b/>
      <sz val="12"/>
      <color rgb="FF1F3864"/>
      <name val="Arial"/>
      <charset val="1"/>
    </font>
    <font>
      <b/>
      <sz val="11"/>
      <name val="Arial"/>
      <charset val="1"/>
    </font>
    <font>
      <b/>
      <i/>
      <sz val="10"/>
      <name val="Arial"/>
      <charset val="1"/>
    </font>
    <font>
      <i/>
      <sz val="10"/>
      <color rgb="FF0000FF"/>
      <name val="Arial"/>
      <charset val="1"/>
    </font>
    <font>
      <i/>
      <sz val="10"/>
      <color rgb="FF000000"/>
      <name val="Arial"/>
      <charset val="1"/>
    </font>
    <font>
      <i/>
      <sz val="10"/>
      <color rgb="FF008000"/>
      <name val="Arial"/>
      <charset val="1"/>
    </font>
    <font>
      <i/>
      <sz val="10"/>
      <color rgb="FF40404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0"/>
      <color rgb="FF1F3864"/>
      <name val="Arial"/>
      <charset val="1"/>
    </font>
    <font>
      <b/>
      <i/>
      <sz val="10"/>
      <color rgb="FF1F3864"/>
      <name val="Arial"/>
      <charset val="1"/>
    </font>
    <font>
      <b/>
      <i/>
      <sz val="9"/>
      <color rgb="FF404040"/>
      <name val="Arial"/>
      <charset val="1"/>
    </font>
    <font>
      <i/>
      <sz val="9"/>
      <color rgb="FF9C5700"/>
      <name val="Arial"/>
      <charset val="1"/>
    </font>
    <font>
      <b/>
      <sz val="11"/>
      <color rgb="FF000000"/>
      <name val="Arial"/>
      <charset val="1"/>
    </font>
    <font>
      <sz val="11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9C5700"/>
      <name val="Arial"/>
      <charset val="1"/>
    </font>
    <font>
      <i/>
      <sz val="10"/>
      <color rgb="FF1F3864"/>
      <name val="Arial"/>
      <charset val="1"/>
    </font>
    <font>
      <i/>
      <sz val="10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E2D9"/>
        <bgColor rgb="FFFFF2CC"/>
      </patternFill>
    </fill>
    <fill>
      <patternFill patternType="solid">
        <fgColor rgb="FFFFF2CC"/>
        <bgColor rgb="FFFFE2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166" fontId="7" fillId="0" borderId="1" xfId="0" applyNumberFormat="1" applyFont="1" applyBorder="1" applyAlignment="1">
      <alignment horizontal="right" vertical="center"/>
    </xf>
    <xf numFmtId="166" fontId="24" fillId="0" borderId="1" xfId="0" applyNumberFormat="1" applyFont="1" applyBorder="1" applyAlignment="1">
      <alignment horizontal="right" vertical="center"/>
    </xf>
    <xf numFmtId="0" fontId="23" fillId="5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1" fontId="10" fillId="0" borderId="1" xfId="0" applyNumberFormat="1" applyFont="1" applyBorder="1" applyAlignment="1">
      <alignment horizontal="right" vertical="center"/>
    </xf>
    <xf numFmtId="166" fontId="10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6" fontId="8" fillId="2" borderId="1" xfId="0" applyNumberFormat="1" applyFont="1" applyFill="1" applyBorder="1" applyAlignment="1">
      <alignment horizontal="right" vertical="center"/>
    </xf>
    <xf numFmtId="165" fontId="8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/>
    </xf>
    <xf numFmtId="166" fontId="20" fillId="4" borderId="1" xfId="0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/>
    </xf>
    <xf numFmtId="166" fontId="20" fillId="5" borderId="1" xfId="0" applyNumberFormat="1" applyFont="1" applyFill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22" fillId="0" borderId="0" xfId="0" applyFont="1"/>
    <xf numFmtId="0" fontId="4" fillId="0" borderId="1" xfId="0" applyFont="1" applyBorder="1" applyAlignment="1">
      <alignment horizontal="left" vertical="center" wrapText="1"/>
    </xf>
    <xf numFmtId="166" fontId="25" fillId="0" borderId="1" xfId="0" applyNumberFormat="1" applyFont="1" applyBorder="1" applyAlignment="1">
      <alignment horizontal="right" vertical="center"/>
    </xf>
    <xf numFmtId="165" fontId="25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166" fontId="27" fillId="5" borderId="1" xfId="0" applyNumberFormat="1" applyFont="1" applyFill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9" fillId="0" borderId="0" xfId="0" applyFont="1"/>
    <xf numFmtId="165" fontId="24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6" fontId="19" fillId="0" borderId="1" xfId="0" applyNumberFormat="1" applyFont="1" applyBorder="1" applyAlignment="1">
      <alignment horizontal="right" vertical="center"/>
    </xf>
    <xf numFmtId="165" fontId="19" fillId="0" borderId="1" xfId="0" applyNumberFormat="1" applyFont="1" applyBorder="1" applyAlignment="1">
      <alignment horizontal="right" vertical="center"/>
    </xf>
    <xf numFmtId="0" fontId="28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2D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zoomScaleNormal="100" workbookViewId="0">
      <pane ySplit="4" topLeftCell="A5" activePane="bottomLeft" state="frozen"/>
      <selection pane="bottomLeft" sqref="A1:F1"/>
    </sheetView>
  </sheetViews>
  <sheetFormatPr defaultColWidth="8.6640625" defaultRowHeight="14.4" x14ac:dyDescent="0.3"/>
  <cols>
    <col min="1" max="1" width="26" customWidth="1"/>
    <col min="2" max="2" width="42" customWidth="1"/>
    <col min="3" max="3" width="22" customWidth="1"/>
    <col min="4" max="4" width="20" customWidth="1"/>
    <col min="5" max="5" width="22" customWidth="1"/>
    <col min="6" max="6" width="20" customWidth="1"/>
    <col min="7" max="8" width="16" customWidth="1"/>
  </cols>
  <sheetData>
    <row r="1" spans="1:6" ht="30" customHeight="1" x14ac:dyDescent="0.3">
      <c r="A1" s="14" t="s">
        <v>0</v>
      </c>
      <c r="B1" s="14"/>
      <c r="C1" s="14"/>
      <c r="D1" s="14"/>
      <c r="E1" s="14"/>
      <c r="F1" s="14"/>
    </row>
    <row r="2" spans="1:6" ht="15" customHeight="1" x14ac:dyDescent="0.3">
      <c r="A2" s="13" t="s">
        <v>1</v>
      </c>
      <c r="B2" s="13"/>
      <c r="C2" s="13"/>
      <c r="D2" s="13"/>
      <c r="E2" s="13"/>
      <c r="F2" s="13"/>
    </row>
    <row r="4" spans="1:6" ht="27.75" customHeight="1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</row>
    <row r="5" spans="1:6" ht="15" customHeight="1" x14ac:dyDescent="0.3">
      <c r="A5" s="16" t="s">
        <v>8</v>
      </c>
      <c r="B5" s="16" t="s">
        <v>9</v>
      </c>
      <c r="C5" s="17" t="s">
        <v>10</v>
      </c>
      <c r="D5" s="18">
        <f>E5/12</f>
        <v>104166.66666666667</v>
      </c>
      <c r="E5" s="19">
        <v>1250000</v>
      </c>
      <c r="F5" s="20">
        <f t="shared" ref="F5:F14" si="0">D5/$D$15</f>
        <v>0.52142776098085153</v>
      </c>
    </row>
    <row r="6" spans="1:6" ht="15" customHeight="1" x14ac:dyDescent="0.3">
      <c r="A6" s="16" t="s">
        <v>11</v>
      </c>
      <c r="B6" s="16" t="s">
        <v>9</v>
      </c>
      <c r="C6" s="17" t="s">
        <v>10</v>
      </c>
      <c r="D6" s="18">
        <f>E6/12</f>
        <v>39583.333333333336</v>
      </c>
      <c r="E6" s="19">
        <v>475000</v>
      </c>
      <c r="F6" s="20">
        <f t="shared" si="0"/>
        <v>0.19814254917272359</v>
      </c>
    </row>
    <row r="7" spans="1:6" ht="15" customHeight="1" x14ac:dyDescent="0.3">
      <c r="A7" s="16" t="s">
        <v>12</v>
      </c>
      <c r="B7" s="16" t="s">
        <v>13</v>
      </c>
      <c r="C7" s="21">
        <v>128</v>
      </c>
      <c r="D7" s="19">
        <v>37000</v>
      </c>
      <c r="E7" s="18">
        <f t="shared" ref="E7:E14" si="1">D7*12</f>
        <v>444000</v>
      </c>
      <c r="F7" s="20">
        <f t="shared" si="0"/>
        <v>0.18521114070039846</v>
      </c>
    </row>
    <row r="8" spans="1:6" ht="15" customHeight="1" x14ac:dyDescent="0.3">
      <c r="A8" s="16" t="s">
        <v>14</v>
      </c>
      <c r="B8" s="16" t="s">
        <v>15</v>
      </c>
      <c r="C8" s="17" t="s">
        <v>16</v>
      </c>
      <c r="D8" s="19">
        <v>7758</v>
      </c>
      <c r="E8" s="18">
        <f t="shared" si="1"/>
        <v>93096</v>
      </c>
      <c r="F8" s="20">
        <f t="shared" si="0"/>
        <v>3.8834271069018683E-2</v>
      </c>
    </row>
    <row r="9" spans="1:6" ht="15" customHeight="1" x14ac:dyDescent="0.3">
      <c r="A9" s="16" t="s">
        <v>17</v>
      </c>
      <c r="B9" s="16" t="s">
        <v>18</v>
      </c>
      <c r="C9" s="21">
        <v>23</v>
      </c>
      <c r="D9" s="19">
        <v>5152</v>
      </c>
      <c r="E9" s="18">
        <f t="shared" si="1"/>
        <v>61824</v>
      </c>
      <c r="F9" s="20">
        <f t="shared" si="0"/>
        <v>2.5789399915904131E-2</v>
      </c>
    </row>
    <row r="10" spans="1:6" ht="15" customHeight="1" x14ac:dyDescent="0.3">
      <c r="A10" s="16" t="s">
        <v>19</v>
      </c>
      <c r="B10" s="16" t="s">
        <v>20</v>
      </c>
      <c r="C10" s="21">
        <v>10</v>
      </c>
      <c r="D10" s="19">
        <v>5100</v>
      </c>
      <c r="E10" s="18">
        <f t="shared" si="1"/>
        <v>61200</v>
      </c>
      <c r="F10" s="20">
        <f t="shared" si="0"/>
        <v>2.5529103177622491E-2</v>
      </c>
    </row>
    <row r="11" spans="1:6" ht="15" customHeight="1" x14ac:dyDescent="0.3">
      <c r="A11" s="16" t="s">
        <v>21</v>
      </c>
      <c r="B11" s="16" t="s">
        <v>22</v>
      </c>
      <c r="C11" s="21">
        <v>5</v>
      </c>
      <c r="D11" s="19">
        <v>640</v>
      </c>
      <c r="E11" s="18">
        <f t="shared" si="1"/>
        <v>7680</v>
      </c>
      <c r="F11" s="20">
        <f t="shared" si="0"/>
        <v>3.2036521634663515E-3</v>
      </c>
    </row>
    <row r="12" spans="1:6" ht="15" customHeight="1" x14ac:dyDescent="0.3">
      <c r="A12" s="16" t="s">
        <v>23</v>
      </c>
      <c r="B12" s="16" t="s">
        <v>24</v>
      </c>
      <c r="C12" s="21">
        <v>5</v>
      </c>
      <c r="D12" s="19">
        <v>232</v>
      </c>
      <c r="E12" s="18">
        <f t="shared" si="1"/>
        <v>2784</v>
      </c>
      <c r="F12" s="20">
        <f t="shared" si="0"/>
        <v>1.1613239092565526E-3</v>
      </c>
    </row>
    <row r="13" spans="1:6" ht="15" customHeight="1" x14ac:dyDescent="0.3">
      <c r="A13" s="16" t="s">
        <v>25</v>
      </c>
      <c r="B13" s="16" t="s">
        <v>26</v>
      </c>
      <c r="C13" s="21">
        <v>2</v>
      </c>
      <c r="D13" s="19">
        <v>140</v>
      </c>
      <c r="E13" s="18">
        <f t="shared" si="1"/>
        <v>1680</v>
      </c>
      <c r="F13" s="20">
        <f t="shared" si="0"/>
        <v>7.0079891075826447E-4</v>
      </c>
    </row>
    <row r="14" spans="1:6" ht="15" customHeight="1" x14ac:dyDescent="0.3">
      <c r="A14" s="16" t="s">
        <v>27</v>
      </c>
      <c r="B14" s="16" t="s">
        <v>28</v>
      </c>
      <c r="C14" s="21">
        <v>520</v>
      </c>
      <c r="D14" s="22">
        <v>0</v>
      </c>
      <c r="E14" s="22">
        <f t="shared" si="1"/>
        <v>0</v>
      </c>
      <c r="F14" s="23">
        <f t="shared" si="0"/>
        <v>0</v>
      </c>
    </row>
    <row r="15" spans="1:6" ht="25.5" customHeight="1" x14ac:dyDescent="0.3">
      <c r="A15" s="24" t="s">
        <v>29</v>
      </c>
      <c r="B15" s="25" t="s">
        <v>30</v>
      </c>
      <c r="C15" s="24">
        <f>SUM(C5:C14)</f>
        <v>693</v>
      </c>
      <c r="D15" s="26">
        <f>SUM(D5:D14)</f>
        <v>199772</v>
      </c>
      <c r="E15" s="26">
        <f>SUM(E5:E14)</f>
        <v>2397264</v>
      </c>
      <c r="F15" s="27">
        <f>SUM(F5:F14)</f>
        <v>1</v>
      </c>
    </row>
    <row r="18" spans="1:6" ht="15" customHeight="1" x14ac:dyDescent="0.3">
      <c r="A18" s="12" t="s">
        <v>31</v>
      </c>
      <c r="B18" s="12"/>
      <c r="C18" s="12"/>
      <c r="D18" s="12"/>
      <c r="E18" s="12"/>
      <c r="F18" s="12"/>
    </row>
    <row r="19" spans="1:6" ht="15" customHeight="1" x14ac:dyDescent="0.3">
      <c r="A19" s="11" t="s">
        <v>32</v>
      </c>
      <c r="B19" s="11"/>
      <c r="C19" s="11"/>
      <c r="D19" s="11"/>
      <c r="E19" s="10">
        <f>D15</f>
        <v>199772</v>
      </c>
      <c r="F19" s="10"/>
    </row>
    <row r="20" spans="1:6" ht="15" customHeight="1" x14ac:dyDescent="0.3">
      <c r="A20" s="11" t="s">
        <v>33</v>
      </c>
      <c r="B20" s="11"/>
      <c r="C20" s="11"/>
      <c r="D20" s="11"/>
      <c r="E20" s="10">
        <f>E15</f>
        <v>2397264</v>
      </c>
      <c r="F20" s="10"/>
    </row>
    <row r="21" spans="1:6" ht="15" customHeight="1" x14ac:dyDescent="0.3">
      <c r="A21" s="11" t="s">
        <v>34</v>
      </c>
      <c r="B21" s="11"/>
      <c r="C21" s="11"/>
      <c r="D21" s="11"/>
      <c r="E21" s="9">
        <f>COUNTA(A5:A14)</f>
        <v>10</v>
      </c>
      <c r="F21" s="9"/>
    </row>
    <row r="22" spans="1:6" ht="15" customHeight="1" x14ac:dyDescent="0.3">
      <c r="A22" s="11" t="s">
        <v>35</v>
      </c>
      <c r="B22" s="11"/>
      <c r="C22" s="11"/>
      <c r="D22" s="11"/>
      <c r="E22" s="9">
        <f>COUNTIF(D5:D14,"&gt;0")</f>
        <v>9</v>
      </c>
      <c r="F22" s="9"/>
    </row>
    <row r="23" spans="1:6" ht="15" customHeight="1" x14ac:dyDescent="0.3">
      <c r="A23" s="11" t="s">
        <v>36</v>
      </c>
      <c r="B23" s="11"/>
      <c r="C23" s="11"/>
      <c r="D23" s="11"/>
      <c r="E23" s="9">
        <f>COUNTIF(D5:D14,0)</f>
        <v>1</v>
      </c>
      <c r="F23" s="9"/>
    </row>
    <row r="24" spans="1:6" ht="15" customHeight="1" x14ac:dyDescent="0.3">
      <c r="A24" s="11" t="s">
        <v>37</v>
      </c>
      <c r="B24" s="11"/>
      <c r="C24" s="11"/>
      <c r="D24" s="11"/>
      <c r="E24" s="10">
        <f>MAX(D5:D14)</f>
        <v>104166.66666666667</v>
      </c>
      <c r="F24" s="10"/>
    </row>
    <row r="25" spans="1:6" ht="15" customHeight="1" x14ac:dyDescent="0.3">
      <c r="A25" s="11" t="s">
        <v>38</v>
      </c>
      <c r="B25" s="11"/>
      <c r="C25" s="11"/>
      <c r="D25" s="11"/>
      <c r="E25" s="10">
        <f>AVERAGEIF(D5:D14,"&gt;0")</f>
        <v>22196.888888888891</v>
      </c>
      <c r="F25" s="10"/>
    </row>
    <row r="28" spans="1:6" ht="15" customHeight="1" x14ac:dyDescent="0.3">
      <c r="A28" s="28" t="s">
        <v>39</v>
      </c>
      <c r="B28" s="29" t="s">
        <v>40</v>
      </c>
    </row>
    <row r="29" spans="1:6" ht="15" customHeight="1" x14ac:dyDescent="0.3">
      <c r="B29" s="30" t="s">
        <v>41</v>
      </c>
    </row>
    <row r="30" spans="1:6" ht="15" customHeight="1" x14ac:dyDescent="0.3">
      <c r="B30" s="31" t="s">
        <v>42</v>
      </c>
    </row>
    <row r="31" spans="1:6" ht="15" customHeight="1" x14ac:dyDescent="0.3">
      <c r="B31" s="32" t="s">
        <v>43</v>
      </c>
    </row>
    <row r="34" spans="1:8" ht="25.5" customHeight="1" x14ac:dyDescent="0.3"/>
    <row r="35" spans="1:8" ht="15" customHeight="1" x14ac:dyDescent="0.3"/>
    <row r="36" spans="1:8" ht="25.5" customHeight="1" x14ac:dyDescent="0.3"/>
    <row r="37" spans="1:8" ht="21.75" customHeight="1" x14ac:dyDescent="0.3"/>
    <row r="38" spans="1:8" ht="25.5" customHeight="1" x14ac:dyDescent="0.3">
      <c r="A38" s="8" t="s">
        <v>44</v>
      </c>
      <c r="B38" s="8"/>
      <c r="C38" s="8"/>
      <c r="D38" s="8"/>
      <c r="E38" s="8"/>
      <c r="F38" s="8"/>
      <c r="G38" s="8"/>
      <c r="H38" s="8"/>
    </row>
    <row r="39" spans="1:8" ht="21.75" customHeight="1" x14ac:dyDescent="0.3">
      <c r="A39" s="7" t="s">
        <v>45</v>
      </c>
      <c r="B39" s="7"/>
      <c r="C39" s="7"/>
      <c r="D39" s="7"/>
      <c r="E39" s="7"/>
      <c r="F39" s="7"/>
      <c r="G39" s="7"/>
      <c r="H39" s="7"/>
    </row>
    <row r="40" spans="1:8" ht="34.5" customHeight="1" x14ac:dyDescent="0.3"/>
    <row r="41" spans="1:8" ht="21.75" customHeight="1" x14ac:dyDescent="0.3">
      <c r="A41" s="33" t="s">
        <v>46</v>
      </c>
      <c r="B41" s="33" t="s">
        <v>47</v>
      </c>
      <c r="C41" s="33" t="s">
        <v>48</v>
      </c>
      <c r="D41" s="33" t="s">
        <v>49</v>
      </c>
      <c r="E41" s="33" t="s">
        <v>50</v>
      </c>
      <c r="F41" s="33" t="s">
        <v>51</v>
      </c>
      <c r="G41" s="33" t="s">
        <v>52</v>
      </c>
      <c r="H41" s="33" t="s">
        <v>53</v>
      </c>
    </row>
    <row r="42" spans="1:8" ht="23.25" customHeight="1" x14ac:dyDescent="0.3">
      <c r="A42" s="34">
        <v>1</v>
      </c>
      <c r="B42" s="35" t="s">
        <v>54</v>
      </c>
      <c r="C42" s="34" t="s">
        <v>55</v>
      </c>
      <c r="D42" s="35" t="s">
        <v>56</v>
      </c>
      <c r="E42" s="35" t="s">
        <v>57</v>
      </c>
      <c r="F42" s="36">
        <v>4</v>
      </c>
      <c r="G42" s="37">
        <v>824.4</v>
      </c>
      <c r="H42" s="37">
        <v>9892.7999999999993</v>
      </c>
    </row>
    <row r="43" spans="1:8" ht="34.5" customHeight="1" x14ac:dyDescent="0.3">
      <c r="A43" s="34">
        <v>2</v>
      </c>
      <c r="B43" s="35" t="s">
        <v>58</v>
      </c>
      <c r="C43" s="34" t="s">
        <v>55</v>
      </c>
      <c r="D43" s="35" t="s">
        <v>56</v>
      </c>
      <c r="E43" s="35" t="s">
        <v>57</v>
      </c>
      <c r="F43" s="36">
        <v>4</v>
      </c>
      <c r="G43" s="37">
        <v>824.4</v>
      </c>
      <c r="H43" s="37">
        <v>9892.7999999999993</v>
      </c>
    </row>
    <row r="44" spans="1:8" ht="34.5" customHeight="1" x14ac:dyDescent="0.3">
      <c r="A44" s="34">
        <v>3</v>
      </c>
      <c r="B44" s="35" t="s">
        <v>59</v>
      </c>
      <c r="C44" s="34" t="s">
        <v>55</v>
      </c>
      <c r="D44" s="35" t="s">
        <v>56</v>
      </c>
      <c r="E44" s="35" t="s">
        <v>57</v>
      </c>
      <c r="F44" s="36">
        <v>4</v>
      </c>
      <c r="G44" s="37">
        <v>824.4</v>
      </c>
      <c r="H44" s="37">
        <v>9892.7999999999993</v>
      </c>
    </row>
    <row r="45" spans="1:8" ht="34.5" customHeight="1" x14ac:dyDescent="0.3">
      <c r="A45" s="34">
        <v>4</v>
      </c>
      <c r="B45" s="35" t="s">
        <v>60</v>
      </c>
      <c r="C45" s="34" t="s">
        <v>55</v>
      </c>
      <c r="D45" s="35" t="s">
        <v>61</v>
      </c>
      <c r="E45" s="35" t="s">
        <v>62</v>
      </c>
      <c r="F45" s="36">
        <v>4</v>
      </c>
      <c r="G45" s="37">
        <v>766.4</v>
      </c>
      <c r="H45" s="37">
        <v>9196.7999999999993</v>
      </c>
    </row>
    <row r="46" spans="1:8" ht="23.25" customHeight="1" x14ac:dyDescent="0.3">
      <c r="A46" s="38">
        <v>5</v>
      </c>
      <c r="B46" s="39" t="s">
        <v>63</v>
      </c>
      <c r="C46" s="38" t="s">
        <v>55</v>
      </c>
      <c r="D46" s="39" t="s">
        <v>56</v>
      </c>
      <c r="E46" s="39" t="s">
        <v>64</v>
      </c>
      <c r="F46" s="40">
        <v>3</v>
      </c>
      <c r="G46" s="41">
        <v>778</v>
      </c>
      <c r="H46" s="41">
        <v>9336</v>
      </c>
    </row>
    <row r="47" spans="1:8" ht="15" customHeight="1" x14ac:dyDescent="0.3">
      <c r="A47" s="38">
        <v>6</v>
      </c>
      <c r="B47" s="39" t="s">
        <v>65</v>
      </c>
      <c r="C47" s="38" t="s">
        <v>55</v>
      </c>
      <c r="D47" s="39" t="s">
        <v>56</v>
      </c>
      <c r="E47" s="39" t="s">
        <v>64</v>
      </c>
      <c r="F47" s="40">
        <v>3</v>
      </c>
      <c r="G47" s="41">
        <v>778</v>
      </c>
      <c r="H47" s="41">
        <v>9336</v>
      </c>
    </row>
    <row r="48" spans="1:8" ht="23.25" customHeight="1" x14ac:dyDescent="0.3">
      <c r="A48" s="38">
        <v>7</v>
      </c>
      <c r="B48" s="39" t="s">
        <v>66</v>
      </c>
      <c r="C48" s="38" t="s">
        <v>55</v>
      </c>
      <c r="D48" s="39" t="s">
        <v>67</v>
      </c>
      <c r="E48" s="39" t="s">
        <v>68</v>
      </c>
      <c r="F48" s="40">
        <v>3</v>
      </c>
      <c r="G48" s="41">
        <v>720</v>
      </c>
      <c r="H48" s="41">
        <v>8640</v>
      </c>
    </row>
    <row r="49" spans="1:8" ht="15" customHeight="1" x14ac:dyDescent="0.3">
      <c r="A49" s="42">
        <v>8</v>
      </c>
      <c r="B49" s="43" t="s">
        <v>69</v>
      </c>
      <c r="C49" s="42" t="s">
        <v>70</v>
      </c>
      <c r="D49" s="43" t="s">
        <v>71</v>
      </c>
      <c r="E49" s="43" t="s">
        <v>72</v>
      </c>
      <c r="F49" s="44">
        <v>2</v>
      </c>
      <c r="G49" s="45">
        <v>894</v>
      </c>
      <c r="H49" s="45">
        <v>10728</v>
      </c>
    </row>
    <row r="50" spans="1:8" ht="15" customHeight="1" x14ac:dyDescent="0.3">
      <c r="A50" s="42">
        <v>9</v>
      </c>
      <c r="B50" s="43" t="s">
        <v>73</v>
      </c>
      <c r="C50" s="42" t="s">
        <v>70</v>
      </c>
      <c r="D50" s="43" t="s">
        <v>71</v>
      </c>
      <c r="E50" s="43" t="s">
        <v>72</v>
      </c>
      <c r="F50" s="44">
        <v>2</v>
      </c>
      <c r="G50" s="45">
        <v>894</v>
      </c>
      <c r="H50" s="45">
        <v>10728</v>
      </c>
    </row>
    <row r="51" spans="1:8" ht="15" customHeight="1" x14ac:dyDescent="0.3">
      <c r="A51" s="42">
        <v>10</v>
      </c>
      <c r="B51" s="43" t="s">
        <v>74</v>
      </c>
      <c r="C51" s="42" t="s">
        <v>70</v>
      </c>
      <c r="D51" s="43" t="s">
        <v>75</v>
      </c>
      <c r="E51" s="43" t="s">
        <v>72</v>
      </c>
      <c r="F51" s="44">
        <v>2</v>
      </c>
      <c r="G51" s="45">
        <v>894</v>
      </c>
      <c r="H51" s="45">
        <v>10728</v>
      </c>
    </row>
    <row r="52" spans="1:8" ht="15" customHeight="1" x14ac:dyDescent="0.3">
      <c r="A52" s="42">
        <v>11</v>
      </c>
      <c r="B52" s="43" t="s">
        <v>76</v>
      </c>
      <c r="C52" s="42" t="s">
        <v>55</v>
      </c>
      <c r="D52" s="43" t="s">
        <v>56</v>
      </c>
      <c r="E52" s="43" t="s">
        <v>77</v>
      </c>
      <c r="F52" s="44">
        <v>2</v>
      </c>
      <c r="G52" s="45">
        <v>650</v>
      </c>
      <c r="H52" s="45">
        <v>7800</v>
      </c>
    </row>
    <row r="53" spans="1:8" ht="15" customHeight="1" x14ac:dyDescent="0.3">
      <c r="A53" s="42">
        <v>12</v>
      </c>
      <c r="B53" s="43" t="s">
        <v>78</v>
      </c>
      <c r="C53" s="42" t="s">
        <v>79</v>
      </c>
      <c r="D53" s="43" t="s">
        <v>80</v>
      </c>
      <c r="E53" s="43" t="s">
        <v>81</v>
      </c>
      <c r="F53" s="44">
        <v>2</v>
      </c>
      <c r="G53" s="45">
        <v>364</v>
      </c>
      <c r="H53" s="45">
        <v>4368</v>
      </c>
    </row>
    <row r="54" spans="1:8" ht="23.25" customHeight="1" x14ac:dyDescent="0.3">
      <c r="A54" s="42">
        <v>13</v>
      </c>
      <c r="B54" s="43" t="s">
        <v>82</v>
      </c>
      <c r="C54" s="42" t="s">
        <v>79</v>
      </c>
      <c r="D54" s="43" t="s">
        <v>80</v>
      </c>
      <c r="E54" s="43" t="s">
        <v>81</v>
      </c>
      <c r="F54" s="44">
        <v>2</v>
      </c>
      <c r="G54" s="45">
        <v>364</v>
      </c>
      <c r="H54" s="45">
        <v>4368</v>
      </c>
    </row>
    <row r="55" spans="1:8" ht="15" customHeight="1" x14ac:dyDescent="0.3">
      <c r="A55" s="42">
        <v>14</v>
      </c>
      <c r="B55" s="43" t="s">
        <v>83</v>
      </c>
      <c r="C55" s="42" t="s">
        <v>79</v>
      </c>
      <c r="D55" s="43" t="s">
        <v>84</v>
      </c>
      <c r="E55" s="43" t="s">
        <v>81</v>
      </c>
      <c r="F55" s="44">
        <v>2</v>
      </c>
      <c r="G55" s="45">
        <v>364</v>
      </c>
      <c r="H55" s="45">
        <v>4368</v>
      </c>
    </row>
    <row r="56" spans="1:8" ht="24" customHeight="1" x14ac:dyDescent="0.3">
      <c r="A56" s="42">
        <v>15</v>
      </c>
      <c r="B56" s="43" t="s">
        <v>85</v>
      </c>
      <c r="C56" s="42" t="s">
        <v>70</v>
      </c>
      <c r="D56" s="43" t="s">
        <v>86</v>
      </c>
      <c r="E56" s="43" t="s">
        <v>81</v>
      </c>
      <c r="F56" s="44">
        <v>2</v>
      </c>
      <c r="G56" s="45">
        <v>364</v>
      </c>
      <c r="H56" s="45">
        <v>4368</v>
      </c>
    </row>
    <row r="57" spans="1:8" ht="26.4" x14ac:dyDescent="0.3">
      <c r="A57" s="42">
        <v>16</v>
      </c>
      <c r="B57" s="43" t="s">
        <v>87</v>
      </c>
      <c r="C57" s="42" t="s">
        <v>70</v>
      </c>
      <c r="D57" s="43" t="s">
        <v>86</v>
      </c>
      <c r="E57" s="43" t="s">
        <v>81</v>
      </c>
      <c r="F57" s="44">
        <v>2</v>
      </c>
      <c r="G57" s="45">
        <v>364</v>
      </c>
      <c r="H57" s="45">
        <v>4368</v>
      </c>
    </row>
    <row r="58" spans="1:8" ht="24" customHeight="1" x14ac:dyDescent="0.3">
      <c r="A58" s="6" t="s">
        <v>88</v>
      </c>
      <c r="B58" s="6"/>
      <c r="C58" s="6"/>
      <c r="D58" s="6"/>
      <c r="E58" s="6"/>
      <c r="F58" s="6"/>
      <c r="G58" s="46">
        <v>10667.6</v>
      </c>
      <c r="H58" s="46">
        <v>128011.2</v>
      </c>
    </row>
    <row r="59" spans="1:8" ht="15" customHeight="1" x14ac:dyDescent="0.3"/>
    <row r="60" spans="1:8" x14ac:dyDescent="0.3">
      <c r="A60" s="5" t="s">
        <v>89</v>
      </c>
      <c r="B60" s="5"/>
      <c r="C60" s="5"/>
      <c r="D60" s="5"/>
      <c r="E60" s="5"/>
      <c r="F60" s="5"/>
      <c r="G60" s="5"/>
      <c r="H60" s="5"/>
    </row>
    <row r="61" spans="1:8" x14ac:dyDescent="0.3">
      <c r="A61" s="47" t="s">
        <v>39</v>
      </c>
      <c r="B61" s="4" t="s">
        <v>90</v>
      </c>
      <c r="C61" s="4"/>
      <c r="D61" s="3" t="s">
        <v>91</v>
      </c>
      <c r="E61" s="3"/>
    </row>
  </sheetData>
  <mergeCells count="23">
    <mergeCell ref="A38:H38"/>
    <mergeCell ref="A39:H39"/>
    <mergeCell ref="A58:F58"/>
    <mergeCell ref="A60:H60"/>
    <mergeCell ref="B61:C61"/>
    <mergeCell ref="D61:E61"/>
    <mergeCell ref="A23:D23"/>
    <mergeCell ref="E23:F23"/>
    <mergeCell ref="A24:D24"/>
    <mergeCell ref="E24:F24"/>
    <mergeCell ref="A25:D25"/>
    <mergeCell ref="E25:F25"/>
    <mergeCell ref="A20:D20"/>
    <mergeCell ref="E20:F20"/>
    <mergeCell ref="A21:D21"/>
    <mergeCell ref="E21:F21"/>
    <mergeCell ref="A22:D22"/>
    <mergeCell ref="E22:F22"/>
    <mergeCell ref="A1:F1"/>
    <mergeCell ref="A2:F2"/>
    <mergeCell ref="A18:F18"/>
    <mergeCell ref="A19:D19"/>
    <mergeCell ref="E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zoomScaleNormal="100" workbookViewId="0">
      <pane ySplit="4" topLeftCell="A5" activePane="bottomLeft" state="frozen"/>
      <selection pane="bottomLeft" activeCell="A22" sqref="A22:D22"/>
    </sheetView>
  </sheetViews>
  <sheetFormatPr defaultColWidth="8.6640625" defaultRowHeight="14.4" x14ac:dyDescent="0.3"/>
  <cols>
    <col min="1" max="1" width="22" customWidth="1"/>
    <col min="2" max="2" width="42" customWidth="1"/>
    <col min="3" max="3" width="22" customWidth="1"/>
    <col min="4" max="4" width="20" customWidth="1"/>
    <col min="5" max="5" width="22" customWidth="1"/>
    <col min="6" max="6" width="20" customWidth="1"/>
  </cols>
  <sheetData>
    <row r="1" spans="1:6" ht="30" customHeight="1" x14ac:dyDescent="0.3">
      <c r="A1" s="14" t="s">
        <v>92</v>
      </c>
      <c r="B1" s="14"/>
      <c r="C1" s="14"/>
      <c r="D1" s="14"/>
      <c r="E1" s="14"/>
      <c r="F1" s="14"/>
    </row>
    <row r="2" spans="1:6" ht="15" customHeight="1" x14ac:dyDescent="0.3">
      <c r="A2" s="13" t="s">
        <v>93</v>
      </c>
      <c r="B2" s="13"/>
      <c r="C2" s="13"/>
      <c r="D2" s="13"/>
      <c r="E2" s="13"/>
      <c r="F2" s="13"/>
    </row>
    <row r="4" spans="1:6" ht="27.75" customHeight="1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</row>
    <row r="5" spans="1:6" ht="15" customHeight="1" x14ac:dyDescent="0.3">
      <c r="A5" s="16" t="s">
        <v>12</v>
      </c>
      <c r="B5" s="16" t="s">
        <v>13</v>
      </c>
      <c r="C5" s="21">
        <v>128</v>
      </c>
      <c r="D5" s="19">
        <v>37000</v>
      </c>
      <c r="E5" s="18">
        <f t="shared" ref="E5:E12" si="0">D5*12</f>
        <v>444000</v>
      </c>
      <c r="F5" s="20">
        <f t="shared" ref="F5:F12" si="1">D5/$D$13</f>
        <v>0.66045482132019562</v>
      </c>
    </row>
    <row r="6" spans="1:6" ht="15" customHeight="1" x14ac:dyDescent="0.3">
      <c r="A6" s="16" t="s">
        <v>14</v>
      </c>
      <c r="B6" s="16" t="s">
        <v>15</v>
      </c>
      <c r="C6" s="17" t="s">
        <v>16</v>
      </c>
      <c r="D6" s="19">
        <v>7758</v>
      </c>
      <c r="E6" s="18">
        <f t="shared" si="0"/>
        <v>93096</v>
      </c>
      <c r="F6" s="20">
        <f t="shared" si="1"/>
        <v>0.13848131091356966</v>
      </c>
    </row>
    <row r="7" spans="1:6" ht="15" customHeight="1" x14ac:dyDescent="0.3">
      <c r="A7" s="16" t="s">
        <v>17</v>
      </c>
      <c r="B7" s="16" t="s">
        <v>18</v>
      </c>
      <c r="C7" s="21">
        <v>23</v>
      </c>
      <c r="D7" s="19">
        <v>5152</v>
      </c>
      <c r="E7" s="18">
        <f t="shared" si="0"/>
        <v>61824</v>
      </c>
      <c r="F7" s="20">
        <f t="shared" si="1"/>
        <v>9.1963871336260758E-2</v>
      </c>
    </row>
    <row r="8" spans="1:6" ht="15" customHeight="1" x14ac:dyDescent="0.3">
      <c r="A8" s="16" t="s">
        <v>19</v>
      </c>
      <c r="B8" s="16" t="s">
        <v>20</v>
      </c>
      <c r="C8" s="21">
        <v>10</v>
      </c>
      <c r="D8" s="19">
        <v>5100</v>
      </c>
      <c r="E8" s="18">
        <f t="shared" si="0"/>
        <v>61200</v>
      </c>
      <c r="F8" s="20">
        <f t="shared" si="1"/>
        <v>9.1035664560351295E-2</v>
      </c>
    </row>
    <row r="9" spans="1:6" ht="15" customHeight="1" x14ac:dyDescent="0.3">
      <c r="A9" s="16" t="s">
        <v>21</v>
      </c>
      <c r="B9" s="16" t="s">
        <v>22</v>
      </c>
      <c r="C9" s="21">
        <v>5</v>
      </c>
      <c r="D9" s="19">
        <v>640</v>
      </c>
      <c r="E9" s="18">
        <f t="shared" si="0"/>
        <v>7680</v>
      </c>
      <c r="F9" s="20">
        <f t="shared" si="1"/>
        <v>1.142408339580879E-2</v>
      </c>
    </row>
    <row r="10" spans="1:6" ht="15" customHeight="1" x14ac:dyDescent="0.3">
      <c r="A10" s="16" t="s">
        <v>23</v>
      </c>
      <c r="B10" s="16" t="s">
        <v>24</v>
      </c>
      <c r="C10" s="21">
        <v>5</v>
      </c>
      <c r="D10" s="19">
        <v>232</v>
      </c>
      <c r="E10" s="18">
        <f t="shared" si="0"/>
        <v>2784</v>
      </c>
      <c r="F10" s="20">
        <f t="shared" si="1"/>
        <v>4.1412302309806861E-3</v>
      </c>
    </row>
    <row r="11" spans="1:6" ht="15" customHeight="1" x14ac:dyDescent="0.3">
      <c r="A11" s="16" t="s">
        <v>25</v>
      </c>
      <c r="B11" s="16" t="s">
        <v>26</v>
      </c>
      <c r="C11" s="21">
        <v>2</v>
      </c>
      <c r="D11" s="19">
        <v>140</v>
      </c>
      <c r="E11" s="18">
        <f t="shared" si="0"/>
        <v>1680</v>
      </c>
      <c r="F11" s="20">
        <f t="shared" si="1"/>
        <v>2.4990182428331728E-3</v>
      </c>
    </row>
    <row r="12" spans="1:6" ht="15" customHeight="1" x14ac:dyDescent="0.3">
      <c r="A12" s="16" t="s">
        <v>27</v>
      </c>
      <c r="B12" s="16" t="s">
        <v>28</v>
      </c>
      <c r="C12" s="21">
        <v>520</v>
      </c>
      <c r="D12" s="22">
        <v>0</v>
      </c>
      <c r="E12" s="22">
        <f t="shared" si="0"/>
        <v>0</v>
      </c>
      <c r="F12" s="23">
        <f t="shared" si="1"/>
        <v>0</v>
      </c>
    </row>
    <row r="13" spans="1:6" ht="25.5" customHeight="1" x14ac:dyDescent="0.3">
      <c r="A13" s="24" t="s">
        <v>29</v>
      </c>
      <c r="B13" s="25" t="s">
        <v>94</v>
      </c>
      <c r="C13" s="24">
        <f>SUM(C5:C12)</f>
        <v>693</v>
      </c>
      <c r="D13" s="26">
        <f>SUM(D5:D12)</f>
        <v>56022</v>
      </c>
      <c r="E13" s="26">
        <f>SUM(E5:E12)</f>
        <v>672264</v>
      </c>
      <c r="F13" s="27">
        <f>SUM(F5:F12)</f>
        <v>0.99999999999999989</v>
      </c>
    </row>
    <row r="16" spans="1:6" ht="15" customHeight="1" x14ac:dyDescent="0.3">
      <c r="A16" s="12" t="s">
        <v>95</v>
      </c>
      <c r="B16" s="12"/>
      <c r="C16" s="12"/>
      <c r="D16" s="12"/>
      <c r="E16" s="12"/>
      <c r="F16" s="12"/>
    </row>
    <row r="17" spans="1:6" ht="15" customHeight="1" x14ac:dyDescent="0.3">
      <c r="A17" s="11" t="s">
        <v>96</v>
      </c>
      <c r="B17" s="11"/>
      <c r="C17" s="11"/>
      <c r="D17" s="11"/>
      <c r="E17" s="2">
        <f>D13</f>
        <v>56022</v>
      </c>
      <c r="F17" s="2"/>
    </row>
    <row r="18" spans="1:6" ht="15" customHeight="1" x14ac:dyDescent="0.3">
      <c r="A18" s="11" t="s">
        <v>97</v>
      </c>
      <c r="B18" s="11"/>
      <c r="C18" s="11"/>
      <c r="D18" s="11"/>
      <c r="E18" s="2">
        <f>E13</f>
        <v>672264</v>
      </c>
      <c r="F18" s="2"/>
    </row>
    <row r="19" spans="1:6" ht="15" customHeight="1" x14ac:dyDescent="0.3">
      <c r="A19" s="11" t="s">
        <v>98</v>
      </c>
      <c r="B19" s="11"/>
      <c r="C19" s="11"/>
      <c r="D19" s="11"/>
      <c r="E19" s="1">
        <f>'Resumo Executivo'!D15</f>
        <v>199772</v>
      </c>
      <c r="F19" s="1"/>
    </row>
    <row r="20" spans="1:6" ht="15" customHeight="1" x14ac:dyDescent="0.3">
      <c r="A20" s="11" t="s">
        <v>99</v>
      </c>
      <c r="B20" s="11"/>
      <c r="C20" s="11"/>
      <c r="D20" s="11"/>
      <c r="E20" s="1">
        <f>'Resumo Executivo'!E15</f>
        <v>2397264</v>
      </c>
      <c r="F20" s="1"/>
    </row>
    <row r="21" spans="1:6" ht="15" customHeight="1" x14ac:dyDescent="0.3">
      <c r="A21" s="11" t="s">
        <v>100</v>
      </c>
      <c r="B21" s="11"/>
      <c r="C21" s="11"/>
      <c r="D21" s="11"/>
      <c r="E21" s="2">
        <f>'Resumo Executivo'!D15-D13</f>
        <v>143750</v>
      </c>
      <c r="F21" s="2"/>
    </row>
    <row r="22" spans="1:6" ht="15" customHeight="1" x14ac:dyDescent="0.3">
      <c r="A22" s="11" t="s">
        <v>101</v>
      </c>
      <c r="B22" s="11"/>
      <c r="C22" s="11"/>
      <c r="D22" s="11"/>
      <c r="E22" s="2">
        <f>'Resumo Executivo'!E15-E13</f>
        <v>1725000</v>
      </c>
      <c r="F22" s="2"/>
    </row>
    <row r="23" spans="1:6" ht="15" customHeight="1" x14ac:dyDescent="0.3">
      <c r="A23" s="11" t="s">
        <v>102</v>
      </c>
      <c r="B23" s="11"/>
      <c r="C23" s="11"/>
      <c r="D23" s="11"/>
      <c r="E23" s="57">
        <f>('Resumo Executivo'!D15-D13)/'Resumo Executivo'!D15</f>
        <v>0.71957031015357509</v>
      </c>
      <c r="F23" s="57"/>
    </row>
    <row r="26" spans="1:6" ht="15" customHeight="1" x14ac:dyDescent="0.3">
      <c r="A26" s="28" t="s">
        <v>39</v>
      </c>
      <c r="B26" s="29" t="s">
        <v>40</v>
      </c>
    </row>
    <row r="27" spans="1:6" ht="15" customHeight="1" x14ac:dyDescent="0.3">
      <c r="B27" s="30" t="s">
        <v>41</v>
      </c>
    </row>
    <row r="28" spans="1:6" ht="15" customHeight="1" x14ac:dyDescent="0.3">
      <c r="B28" s="31" t="s">
        <v>103</v>
      </c>
    </row>
    <row r="29" spans="1:6" ht="15" customHeight="1" x14ac:dyDescent="0.3">
      <c r="B29" s="32" t="s">
        <v>104</v>
      </c>
    </row>
  </sheetData>
  <mergeCells count="17">
    <mergeCell ref="A21:D21"/>
    <mergeCell ref="E21:F21"/>
    <mergeCell ref="A22:D22"/>
    <mergeCell ref="E22:F22"/>
    <mergeCell ref="A23:D23"/>
    <mergeCell ref="E23:F23"/>
    <mergeCell ref="A18:D18"/>
    <mergeCell ref="E18:F18"/>
    <mergeCell ref="A19:D19"/>
    <mergeCell ref="E19:F19"/>
    <mergeCell ref="A20:D20"/>
    <mergeCell ref="E20:F20"/>
    <mergeCell ref="A1:F1"/>
    <mergeCell ref="A2:F2"/>
    <mergeCell ref="A16:F16"/>
    <mergeCell ref="A17:D17"/>
    <mergeCell ref="E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8" customWidth="1"/>
    <col min="3" max="3" width="18" customWidth="1"/>
    <col min="4" max="5" width="20" customWidth="1"/>
    <col min="6" max="6" width="36" customWidth="1"/>
  </cols>
  <sheetData>
    <row r="1" spans="1:6" ht="30" customHeight="1" x14ac:dyDescent="0.3">
      <c r="A1" s="14" t="s">
        <v>105</v>
      </c>
      <c r="B1" s="14"/>
      <c r="C1" s="14"/>
      <c r="D1" s="14"/>
      <c r="E1" s="14"/>
      <c r="F1" s="14"/>
    </row>
    <row r="2" spans="1:6" x14ac:dyDescent="0.3">
      <c r="A2" s="13" t="s">
        <v>106</v>
      </c>
      <c r="B2" s="13"/>
      <c r="C2" s="13"/>
      <c r="D2" s="13"/>
      <c r="E2" s="13"/>
      <c r="F2" s="13"/>
    </row>
    <row r="4" spans="1:6" ht="21.75" customHeight="1" x14ac:dyDescent="0.3">
      <c r="A4" s="58" t="s">
        <v>107</v>
      </c>
      <c r="B4" s="58"/>
      <c r="C4" s="58"/>
      <c r="D4" s="58"/>
      <c r="E4" s="58"/>
      <c r="F4" s="58"/>
    </row>
    <row r="5" spans="1:6" ht="24" customHeight="1" x14ac:dyDescent="0.3">
      <c r="A5" s="15" t="s">
        <v>48</v>
      </c>
      <c r="B5" s="15" t="s">
        <v>108</v>
      </c>
      <c r="C5" s="15" t="s">
        <v>109</v>
      </c>
      <c r="D5" s="15" t="s">
        <v>52</v>
      </c>
      <c r="E5" s="15" t="s">
        <v>53</v>
      </c>
      <c r="F5" s="15" t="s">
        <v>110</v>
      </c>
    </row>
    <row r="6" spans="1:6" x14ac:dyDescent="0.3">
      <c r="A6" s="44" t="s">
        <v>70</v>
      </c>
      <c r="B6" s="48" t="s">
        <v>111</v>
      </c>
      <c r="C6" s="17">
        <v>51</v>
      </c>
      <c r="D6" s="49">
        <v>166520</v>
      </c>
      <c r="E6" s="49">
        <v>1998240</v>
      </c>
      <c r="F6" s="50">
        <f>D6/$D$11</f>
        <v>0.83587831475045127</v>
      </c>
    </row>
    <row r="7" spans="1:6" x14ac:dyDescent="0.3">
      <c r="A7" s="44" t="s">
        <v>55</v>
      </c>
      <c r="B7" s="48" t="s">
        <v>112</v>
      </c>
      <c r="C7" s="17">
        <v>17</v>
      </c>
      <c r="D7" s="49">
        <v>15553.6</v>
      </c>
      <c r="E7" s="49">
        <v>186643.20000000001</v>
      </c>
      <c r="F7" s="50">
        <f>D7/$D$11</f>
        <v>7.8074207040010918E-2</v>
      </c>
    </row>
    <row r="8" spans="1:6" x14ac:dyDescent="0.3">
      <c r="A8" s="44" t="s">
        <v>79</v>
      </c>
      <c r="B8" s="48" t="s">
        <v>113</v>
      </c>
      <c r="C8" s="17">
        <v>48</v>
      </c>
      <c r="D8" s="49">
        <v>13222</v>
      </c>
      <c r="E8" s="49">
        <v>158664</v>
      </c>
      <c r="F8" s="50">
        <f>D8/$D$11</f>
        <v>6.6370304333596364E-2</v>
      </c>
    </row>
    <row r="9" spans="1:6" x14ac:dyDescent="0.3">
      <c r="A9" s="44" t="s">
        <v>114</v>
      </c>
      <c r="B9" s="48" t="s">
        <v>115</v>
      </c>
      <c r="C9" s="17">
        <v>20</v>
      </c>
      <c r="D9" s="49">
        <v>2800</v>
      </c>
      <c r="E9" s="49">
        <v>33600</v>
      </c>
      <c r="F9" s="50">
        <f>D9/$D$11</f>
        <v>1.405512419710103E-2</v>
      </c>
    </row>
    <row r="10" spans="1:6" x14ac:dyDescent="0.3">
      <c r="A10" s="44" t="s">
        <v>116</v>
      </c>
      <c r="B10" s="48" t="s">
        <v>117</v>
      </c>
      <c r="C10" s="17">
        <v>8</v>
      </c>
      <c r="D10" s="49">
        <v>1120</v>
      </c>
      <c r="E10" s="49">
        <v>13440</v>
      </c>
      <c r="F10" s="50">
        <f>D10/$D$11</f>
        <v>5.6220496788404123E-3</v>
      </c>
    </row>
    <row r="11" spans="1:6" ht="24" customHeight="1" x14ac:dyDescent="0.3">
      <c r="A11" s="24" t="s">
        <v>29</v>
      </c>
      <c r="B11" s="51" t="s">
        <v>118</v>
      </c>
      <c r="C11" s="24">
        <v>144</v>
      </c>
      <c r="D11" s="26">
        <f>SUM(D6:D10)</f>
        <v>199215.6</v>
      </c>
      <c r="E11" s="26">
        <f>SUM(E6:E10)</f>
        <v>2390587.2000000002</v>
      </c>
      <c r="F11" s="27">
        <f>SUM(F6:F10)</f>
        <v>0.99999999999999989</v>
      </c>
    </row>
    <row r="12" spans="1:6" ht="36" customHeight="1" x14ac:dyDescent="0.3">
      <c r="A12" s="59" t="s">
        <v>119</v>
      </c>
      <c r="B12" s="59"/>
      <c r="C12" s="59"/>
      <c r="D12" s="59"/>
      <c r="E12" s="59"/>
      <c r="F12" s="59"/>
    </row>
    <row r="14" spans="1:6" ht="15" customHeight="1" x14ac:dyDescent="0.3">
      <c r="A14" s="58" t="s">
        <v>120</v>
      </c>
      <c r="B14" s="58"/>
      <c r="C14" s="58"/>
      <c r="D14" s="58"/>
      <c r="E14" s="58"/>
      <c r="F14" s="58"/>
    </row>
    <row r="16" spans="1:6" ht="21.75" customHeight="1" x14ac:dyDescent="0.3">
      <c r="A16" s="60" t="s">
        <v>121</v>
      </c>
      <c r="B16" s="60"/>
      <c r="C16" s="60"/>
      <c r="D16" s="60"/>
      <c r="E16" s="60"/>
      <c r="F16" s="60"/>
    </row>
    <row r="17" spans="1:6" x14ac:dyDescent="0.3">
      <c r="A17" s="15" t="s">
        <v>2</v>
      </c>
      <c r="B17" s="15" t="s">
        <v>122</v>
      </c>
      <c r="C17" s="15" t="s">
        <v>52</v>
      </c>
      <c r="D17" s="15" t="s">
        <v>53</v>
      </c>
      <c r="E17" s="15" t="s">
        <v>123</v>
      </c>
      <c r="F17" s="15" t="s">
        <v>124</v>
      </c>
    </row>
    <row r="18" spans="1:6" ht="27.6" x14ac:dyDescent="0.3">
      <c r="A18" s="48" t="s">
        <v>8</v>
      </c>
      <c r="B18" s="17" t="s">
        <v>125</v>
      </c>
      <c r="C18" s="49">
        <v>104166.66666666701</v>
      </c>
      <c r="D18" s="49">
        <v>1250000</v>
      </c>
      <c r="E18" s="50">
        <v>0.62555048442629502</v>
      </c>
      <c r="F18" s="52" t="s">
        <v>126</v>
      </c>
    </row>
    <row r="19" spans="1:6" ht="55.2" x14ac:dyDescent="0.3">
      <c r="A19" s="48" t="s">
        <v>11</v>
      </c>
      <c r="B19" s="17" t="s">
        <v>125</v>
      </c>
      <c r="C19" s="49">
        <v>39583.333333333299</v>
      </c>
      <c r="D19" s="49">
        <v>475000</v>
      </c>
      <c r="E19" s="50">
        <v>0.23770918408199199</v>
      </c>
      <c r="F19" s="52" t="s">
        <v>126</v>
      </c>
    </row>
    <row r="20" spans="1:6" x14ac:dyDescent="0.3">
      <c r="A20" s="48" t="s">
        <v>12</v>
      </c>
      <c r="B20" s="17">
        <v>36</v>
      </c>
      <c r="C20" s="49">
        <v>18290</v>
      </c>
      <c r="D20" s="49">
        <v>219480</v>
      </c>
      <c r="E20" s="50">
        <v>0.10983665625750701</v>
      </c>
      <c r="F20" s="52" t="s">
        <v>127</v>
      </c>
    </row>
    <row r="21" spans="1:6" ht="27.6" x14ac:dyDescent="0.3">
      <c r="A21" s="48" t="s">
        <v>17</v>
      </c>
      <c r="B21" s="17">
        <v>20</v>
      </c>
      <c r="C21" s="49">
        <v>4480</v>
      </c>
      <c r="D21" s="49">
        <v>53760</v>
      </c>
      <c r="E21" s="50">
        <v>2.6903675234206101E-2</v>
      </c>
      <c r="F21" s="52"/>
    </row>
    <row r="23" spans="1:6" ht="21.75" customHeight="1" x14ac:dyDescent="0.3">
      <c r="A23" s="60" t="s">
        <v>128</v>
      </c>
      <c r="B23" s="60"/>
      <c r="C23" s="60"/>
      <c r="D23" s="60"/>
      <c r="E23" s="60"/>
      <c r="F23" s="60"/>
    </row>
    <row r="24" spans="1:6" x14ac:dyDescent="0.3">
      <c r="A24" s="15" t="s">
        <v>2</v>
      </c>
      <c r="B24" s="15" t="s">
        <v>122</v>
      </c>
      <c r="C24" s="15" t="s">
        <v>52</v>
      </c>
      <c r="D24" s="15" t="s">
        <v>53</v>
      </c>
      <c r="E24" s="15" t="s">
        <v>123</v>
      </c>
      <c r="F24" s="15" t="s">
        <v>124</v>
      </c>
    </row>
    <row r="25" spans="1:6" ht="26.4" x14ac:dyDescent="0.3">
      <c r="A25" s="48" t="s">
        <v>14</v>
      </c>
      <c r="B25" s="17" t="s">
        <v>125</v>
      </c>
      <c r="C25" s="49">
        <v>7758</v>
      </c>
      <c r="D25" s="49">
        <v>93096</v>
      </c>
      <c r="E25" s="50">
        <v>0.49879127661763201</v>
      </c>
      <c r="F25" s="52" t="s">
        <v>126</v>
      </c>
    </row>
    <row r="26" spans="1:6" x14ac:dyDescent="0.3">
      <c r="A26" s="48" t="s">
        <v>19</v>
      </c>
      <c r="B26" s="17">
        <v>9</v>
      </c>
      <c r="C26" s="49">
        <v>4590</v>
      </c>
      <c r="D26" s="49">
        <v>55080</v>
      </c>
      <c r="E26" s="50">
        <v>0.29510852792922498</v>
      </c>
      <c r="F26" s="52"/>
    </row>
    <row r="27" spans="1:6" x14ac:dyDescent="0.3">
      <c r="A27" s="48" t="s">
        <v>12</v>
      </c>
      <c r="B27" s="17">
        <v>16</v>
      </c>
      <c r="C27" s="49">
        <v>2240</v>
      </c>
      <c r="D27" s="49">
        <v>26880</v>
      </c>
      <c r="E27" s="50">
        <v>0.144018105133217</v>
      </c>
      <c r="F27" s="52" t="s">
        <v>129</v>
      </c>
    </row>
    <row r="28" spans="1:6" x14ac:dyDescent="0.3">
      <c r="A28" s="48" t="s">
        <v>21</v>
      </c>
      <c r="B28" s="17">
        <v>5</v>
      </c>
      <c r="C28" s="49">
        <v>640</v>
      </c>
      <c r="D28" s="49">
        <v>7680</v>
      </c>
      <c r="E28" s="50">
        <v>4.1148030038061903E-2</v>
      </c>
      <c r="F28" s="52"/>
    </row>
    <row r="29" spans="1:6" ht="27.6" x14ac:dyDescent="0.3">
      <c r="A29" s="48" t="s">
        <v>130</v>
      </c>
      <c r="B29" s="17">
        <v>4</v>
      </c>
      <c r="C29" s="49">
        <v>185.6</v>
      </c>
      <c r="D29" s="49">
        <v>2227.1999999999998</v>
      </c>
      <c r="E29" s="50">
        <v>1.1932928711038E-2</v>
      </c>
      <c r="F29" s="52"/>
    </row>
    <row r="30" spans="1:6" x14ac:dyDescent="0.3">
      <c r="A30" s="48" t="s">
        <v>25</v>
      </c>
      <c r="B30" s="17">
        <v>2</v>
      </c>
      <c r="C30" s="49">
        <v>140</v>
      </c>
      <c r="D30" s="49">
        <v>1680</v>
      </c>
      <c r="E30" s="50">
        <v>9.0011315708260504E-3</v>
      </c>
      <c r="F30" s="52"/>
    </row>
    <row r="32" spans="1:6" ht="21.75" customHeight="1" x14ac:dyDescent="0.3">
      <c r="A32" s="60" t="s">
        <v>131</v>
      </c>
      <c r="B32" s="60"/>
      <c r="C32" s="60"/>
      <c r="D32" s="60"/>
      <c r="E32" s="60"/>
      <c r="F32" s="60"/>
    </row>
    <row r="33" spans="1:6" x14ac:dyDescent="0.3">
      <c r="A33" s="15" t="s">
        <v>2</v>
      </c>
      <c r="B33" s="15" t="s">
        <v>122</v>
      </c>
      <c r="C33" s="15" t="s">
        <v>52</v>
      </c>
      <c r="D33" s="15" t="s">
        <v>53</v>
      </c>
      <c r="E33" s="15" t="s">
        <v>123</v>
      </c>
      <c r="F33" s="15" t="s">
        <v>124</v>
      </c>
    </row>
    <row r="34" spans="1:6" x14ac:dyDescent="0.3">
      <c r="A34" s="48" t="s">
        <v>12</v>
      </c>
      <c r="B34" s="17">
        <v>48</v>
      </c>
      <c r="C34" s="49">
        <v>12550</v>
      </c>
      <c r="D34" s="49">
        <v>150600</v>
      </c>
      <c r="E34" s="50">
        <v>0.94917561639691395</v>
      </c>
      <c r="F34" s="52" t="s">
        <v>132</v>
      </c>
    </row>
    <row r="35" spans="1:6" ht="27.6" x14ac:dyDescent="0.3">
      <c r="A35" s="48" t="s">
        <v>17</v>
      </c>
      <c r="B35" s="17">
        <v>3</v>
      </c>
      <c r="C35" s="49">
        <v>672</v>
      </c>
      <c r="D35" s="49">
        <v>8064</v>
      </c>
      <c r="E35" s="50">
        <v>5.0824383603085797E-2</v>
      </c>
      <c r="F35" s="52"/>
    </row>
    <row r="37" spans="1:6" ht="21.75" customHeight="1" x14ac:dyDescent="0.3">
      <c r="A37" s="60" t="s">
        <v>133</v>
      </c>
      <c r="B37" s="60"/>
      <c r="C37" s="60"/>
      <c r="D37" s="60"/>
      <c r="E37" s="60"/>
      <c r="F37" s="60"/>
    </row>
    <row r="38" spans="1:6" x14ac:dyDescent="0.3">
      <c r="A38" s="15" t="s">
        <v>2</v>
      </c>
      <c r="B38" s="15" t="s">
        <v>122</v>
      </c>
      <c r="C38" s="15" t="s">
        <v>52</v>
      </c>
      <c r="D38" s="15" t="s">
        <v>53</v>
      </c>
      <c r="E38" s="15" t="s">
        <v>123</v>
      </c>
      <c r="F38" s="15" t="s">
        <v>124</v>
      </c>
    </row>
    <row r="39" spans="1:6" x14ac:dyDescent="0.3">
      <c r="A39" s="48" t="s">
        <v>12</v>
      </c>
      <c r="B39" s="17">
        <v>20</v>
      </c>
      <c r="C39" s="49">
        <v>2800</v>
      </c>
      <c r="D39" s="49">
        <v>33600</v>
      </c>
      <c r="E39" s="50">
        <v>1</v>
      </c>
      <c r="F39" s="52" t="s">
        <v>134</v>
      </c>
    </row>
    <row r="41" spans="1:6" ht="21.75" customHeight="1" x14ac:dyDescent="0.3">
      <c r="A41" s="60" t="s">
        <v>135</v>
      </c>
      <c r="B41" s="60"/>
      <c r="C41" s="60"/>
      <c r="D41" s="60"/>
      <c r="E41" s="60"/>
      <c r="F41" s="60"/>
    </row>
    <row r="42" spans="1:6" x14ac:dyDescent="0.3">
      <c r="A42" s="15" t="s">
        <v>2</v>
      </c>
      <c r="B42" s="15" t="s">
        <v>122</v>
      </c>
      <c r="C42" s="15" t="s">
        <v>52</v>
      </c>
      <c r="D42" s="15" t="s">
        <v>53</v>
      </c>
      <c r="E42" s="15" t="s">
        <v>123</v>
      </c>
      <c r="F42" s="15" t="s">
        <v>124</v>
      </c>
    </row>
    <row r="43" spans="1:6" x14ac:dyDescent="0.3">
      <c r="A43" s="48" t="s">
        <v>12</v>
      </c>
      <c r="B43" s="17">
        <v>8</v>
      </c>
      <c r="C43" s="49">
        <v>1120</v>
      </c>
      <c r="D43" s="49">
        <v>13440</v>
      </c>
      <c r="E43" s="50">
        <v>1</v>
      </c>
      <c r="F43" s="52" t="s">
        <v>136</v>
      </c>
    </row>
  </sheetData>
  <mergeCells count="10">
    <mergeCell ref="A16:F16"/>
    <mergeCell ref="A23:F23"/>
    <mergeCell ref="A32:F32"/>
    <mergeCell ref="A37:F37"/>
    <mergeCell ref="A41:F41"/>
    <mergeCell ref="A1:F1"/>
    <mergeCell ref="A2:F2"/>
    <mergeCell ref="A4:F4"/>
    <mergeCell ref="A12:F1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8" customWidth="1"/>
    <col min="3" max="3" width="18" customWidth="1"/>
    <col min="4" max="5" width="20" customWidth="1"/>
    <col min="6" max="6" width="36" customWidth="1"/>
  </cols>
  <sheetData>
    <row r="1" spans="1:6" ht="30" customHeight="1" x14ac:dyDescent="0.3">
      <c r="A1" s="14" t="s">
        <v>137</v>
      </c>
      <c r="B1" s="14"/>
      <c r="C1" s="14"/>
      <c r="D1" s="14"/>
      <c r="E1" s="14"/>
      <c r="F1" s="14"/>
    </row>
    <row r="2" spans="1:6" x14ac:dyDescent="0.3">
      <c r="A2" s="13" t="s">
        <v>138</v>
      </c>
      <c r="B2" s="13"/>
      <c r="C2" s="13"/>
      <c r="D2" s="13"/>
      <c r="E2" s="13"/>
      <c r="F2" s="13"/>
    </row>
    <row r="4" spans="1:6" ht="21.75" customHeight="1" x14ac:dyDescent="0.3">
      <c r="A4" s="58" t="s">
        <v>139</v>
      </c>
      <c r="B4" s="58"/>
      <c r="C4" s="58"/>
      <c r="D4" s="58"/>
      <c r="E4" s="58"/>
      <c r="F4" s="58"/>
    </row>
    <row r="5" spans="1:6" ht="24" customHeight="1" x14ac:dyDescent="0.3">
      <c r="A5" s="15" t="s">
        <v>48</v>
      </c>
      <c r="B5" s="15" t="s">
        <v>108</v>
      </c>
      <c r="C5" s="15" t="s">
        <v>109</v>
      </c>
      <c r="D5" s="15" t="s">
        <v>52</v>
      </c>
      <c r="E5" s="15" t="s">
        <v>53</v>
      </c>
      <c r="F5" s="15" t="s">
        <v>110</v>
      </c>
    </row>
    <row r="6" spans="1:6" x14ac:dyDescent="0.3">
      <c r="A6" s="44" t="s">
        <v>70</v>
      </c>
      <c r="B6" s="48" t="s">
        <v>111</v>
      </c>
      <c r="C6" s="17">
        <v>51</v>
      </c>
      <c r="D6" s="49">
        <v>22770</v>
      </c>
      <c r="E6" s="49">
        <v>273240</v>
      </c>
      <c r="F6" s="50">
        <f>D6/$D$11</f>
        <v>0.41052472162926212</v>
      </c>
    </row>
    <row r="7" spans="1:6" x14ac:dyDescent="0.3">
      <c r="A7" s="44" t="s">
        <v>55</v>
      </c>
      <c r="B7" s="48" t="s">
        <v>112</v>
      </c>
      <c r="C7" s="17">
        <v>17</v>
      </c>
      <c r="D7" s="49">
        <v>15553.6</v>
      </c>
      <c r="E7" s="49">
        <v>186643.20000000001</v>
      </c>
      <c r="F7" s="50">
        <f>D7/$D$11</f>
        <v>0.2804188542087348</v>
      </c>
    </row>
    <row r="8" spans="1:6" x14ac:dyDescent="0.3">
      <c r="A8" s="44" t="s">
        <v>79</v>
      </c>
      <c r="B8" s="48" t="s">
        <v>113</v>
      </c>
      <c r="C8" s="17">
        <v>48</v>
      </c>
      <c r="D8" s="49">
        <v>13222</v>
      </c>
      <c r="E8" s="49">
        <v>158664</v>
      </c>
      <c r="F8" s="50">
        <f>D8/$D$11</f>
        <v>0.23838198811515607</v>
      </c>
    </row>
    <row r="9" spans="1:6" x14ac:dyDescent="0.3">
      <c r="A9" s="44" t="s">
        <v>114</v>
      </c>
      <c r="B9" s="48" t="s">
        <v>115</v>
      </c>
      <c r="C9" s="17">
        <v>20</v>
      </c>
      <c r="D9" s="49">
        <v>2800</v>
      </c>
      <c r="E9" s="49">
        <v>33600</v>
      </c>
      <c r="F9" s="50">
        <f>D9/$D$11</f>
        <v>5.0481740033462182E-2</v>
      </c>
    </row>
    <row r="10" spans="1:6" x14ac:dyDescent="0.3">
      <c r="A10" s="44" t="s">
        <v>116</v>
      </c>
      <c r="B10" s="48" t="s">
        <v>117</v>
      </c>
      <c r="C10" s="17">
        <v>8</v>
      </c>
      <c r="D10" s="49">
        <v>1120</v>
      </c>
      <c r="E10" s="49">
        <v>13440</v>
      </c>
      <c r="F10" s="50">
        <f>D10/$D$11</f>
        <v>2.0192696013384873E-2</v>
      </c>
    </row>
    <row r="11" spans="1:6" ht="24" customHeight="1" x14ac:dyDescent="0.3">
      <c r="A11" s="24" t="s">
        <v>29</v>
      </c>
      <c r="B11" s="51" t="s">
        <v>140</v>
      </c>
      <c r="C11" s="24">
        <v>144</v>
      </c>
      <c r="D11" s="26">
        <f>SUM(D6:D10)</f>
        <v>55465.599999999999</v>
      </c>
      <c r="E11" s="26">
        <f>SUM(E6:E10)</f>
        <v>665587.19999999995</v>
      </c>
      <c r="F11" s="27">
        <f>SUM(F6:F10)</f>
        <v>1</v>
      </c>
    </row>
    <row r="14" spans="1:6" ht="15" customHeight="1" x14ac:dyDescent="0.3">
      <c r="A14" s="58" t="s">
        <v>141</v>
      </c>
      <c r="B14" s="58"/>
      <c r="C14" s="58"/>
      <c r="D14" s="58"/>
      <c r="E14" s="58"/>
      <c r="F14" s="58"/>
    </row>
    <row r="15" spans="1:6" ht="15" customHeight="1" x14ac:dyDescent="0.3">
      <c r="A15" s="61" t="s">
        <v>142</v>
      </c>
      <c r="B15" s="61"/>
      <c r="C15" s="61"/>
      <c r="D15" s="61"/>
      <c r="E15" s="62">
        <f>D11</f>
        <v>55465.599999999999</v>
      </c>
      <c r="F15" s="62"/>
    </row>
    <row r="16" spans="1:6" ht="15" customHeight="1" x14ac:dyDescent="0.3">
      <c r="A16" s="61" t="s">
        <v>143</v>
      </c>
      <c r="B16" s="61"/>
      <c r="C16" s="61"/>
      <c r="D16" s="61"/>
      <c r="E16" s="62">
        <f>E11</f>
        <v>665587.19999999995</v>
      </c>
      <c r="F16" s="62"/>
    </row>
    <row r="17" spans="1:6" ht="15" customHeight="1" x14ac:dyDescent="0.3">
      <c r="A17" s="61" t="s">
        <v>144</v>
      </c>
      <c r="B17" s="61"/>
      <c r="C17" s="61"/>
      <c r="D17" s="61"/>
      <c r="E17" s="62">
        <f>'Custo por Área'!D11</f>
        <v>199215.6</v>
      </c>
      <c r="F17" s="62"/>
    </row>
    <row r="18" spans="1:6" ht="15" customHeight="1" x14ac:dyDescent="0.3">
      <c r="A18" s="61" t="s">
        <v>145</v>
      </c>
      <c r="B18" s="61"/>
      <c r="C18" s="61"/>
      <c r="D18" s="61"/>
      <c r="E18" s="62">
        <f>'Custo por Área'!E11</f>
        <v>2390587.2000000002</v>
      </c>
      <c r="F18" s="62"/>
    </row>
    <row r="19" spans="1:6" ht="15" customHeight="1" x14ac:dyDescent="0.3">
      <c r="A19" s="61" t="s">
        <v>146</v>
      </c>
      <c r="B19" s="61"/>
      <c r="C19" s="61"/>
      <c r="D19" s="61"/>
      <c r="E19" s="62">
        <f>'Custo por Área'!D11-D11</f>
        <v>143750</v>
      </c>
      <c r="F19" s="62"/>
    </row>
    <row r="20" spans="1:6" ht="15" customHeight="1" x14ac:dyDescent="0.3">
      <c r="A20" s="61" t="s">
        <v>147</v>
      </c>
      <c r="B20" s="61"/>
      <c r="C20" s="61"/>
      <c r="D20" s="61"/>
      <c r="E20" s="63">
        <f>('Custo por Área'!D11-D11)/'Custo por Área'!D11</f>
        <v>0.72158003690474037</v>
      </c>
      <c r="F20" s="63"/>
    </row>
    <row r="23" spans="1:6" ht="15" customHeight="1" x14ac:dyDescent="0.3">
      <c r="A23" s="58" t="s">
        <v>148</v>
      </c>
      <c r="B23" s="58"/>
      <c r="C23" s="58"/>
      <c r="D23" s="58"/>
      <c r="E23" s="58"/>
      <c r="F23" s="58"/>
    </row>
    <row r="25" spans="1:6" ht="21.75" customHeight="1" x14ac:dyDescent="0.3">
      <c r="A25" s="60" t="s">
        <v>149</v>
      </c>
      <c r="B25" s="60"/>
      <c r="C25" s="60"/>
      <c r="D25" s="60"/>
      <c r="E25" s="60"/>
      <c r="F25" s="60"/>
    </row>
    <row r="26" spans="1:6" x14ac:dyDescent="0.3">
      <c r="A26" s="15" t="s">
        <v>2</v>
      </c>
      <c r="B26" s="15" t="s">
        <v>122</v>
      </c>
      <c r="C26" s="15" t="s">
        <v>52</v>
      </c>
      <c r="D26" s="15" t="s">
        <v>53</v>
      </c>
      <c r="E26" s="15" t="s">
        <v>123</v>
      </c>
      <c r="F26" s="15" t="s">
        <v>124</v>
      </c>
    </row>
    <row r="27" spans="1:6" x14ac:dyDescent="0.3">
      <c r="A27" s="48" t="s">
        <v>12</v>
      </c>
      <c r="B27" s="17">
        <v>36</v>
      </c>
      <c r="C27" s="49">
        <v>18290</v>
      </c>
      <c r="D27" s="49">
        <v>219480</v>
      </c>
      <c r="E27" s="50">
        <v>0.80324989020641202</v>
      </c>
      <c r="F27" s="52" t="s">
        <v>127</v>
      </c>
    </row>
    <row r="28" spans="1:6" ht="27.6" x14ac:dyDescent="0.3">
      <c r="A28" s="48" t="s">
        <v>17</v>
      </c>
      <c r="B28" s="17">
        <v>20</v>
      </c>
      <c r="C28" s="49">
        <v>4480</v>
      </c>
      <c r="D28" s="49">
        <v>53760</v>
      </c>
      <c r="E28" s="50">
        <v>0.19675010979358801</v>
      </c>
      <c r="F28" s="52"/>
    </row>
    <row r="30" spans="1:6" ht="21.75" customHeight="1" x14ac:dyDescent="0.3">
      <c r="A30" s="60" t="s">
        <v>128</v>
      </c>
      <c r="B30" s="60"/>
      <c r="C30" s="60"/>
      <c r="D30" s="60"/>
      <c r="E30" s="60"/>
      <c r="F30" s="60"/>
    </row>
    <row r="31" spans="1:6" x14ac:dyDescent="0.3">
      <c r="A31" s="15" t="s">
        <v>2</v>
      </c>
      <c r="B31" s="15" t="s">
        <v>122</v>
      </c>
      <c r="C31" s="15" t="s">
        <v>52</v>
      </c>
      <c r="D31" s="15" t="s">
        <v>53</v>
      </c>
      <c r="E31" s="15" t="s">
        <v>123</v>
      </c>
      <c r="F31" s="15" t="s">
        <v>124</v>
      </c>
    </row>
    <row r="32" spans="1:6" ht="26.4" x14ac:dyDescent="0.3">
      <c r="A32" s="48" t="s">
        <v>14</v>
      </c>
      <c r="B32" s="17" t="s">
        <v>125</v>
      </c>
      <c r="C32" s="49">
        <v>7758</v>
      </c>
      <c r="D32" s="49">
        <v>93096</v>
      </c>
      <c r="E32" s="50">
        <v>0.49879127661763201</v>
      </c>
      <c r="F32" s="52" t="s">
        <v>150</v>
      </c>
    </row>
    <row r="33" spans="1:6" x14ac:dyDescent="0.3">
      <c r="A33" s="48" t="s">
        <v>19</v>
      </c>
      <c r="B33" s="17">
        <v>9</v>
      </c>
      <c r="C33" s="49">
        <v>4590</v>
      </c>
      <c r="D33" s="49">
        <v>55080</v>
      </c>
      <c r="E33" s="50">
        <v>0.29510852792922498</v>
      </c>
      <c r="F33" s="52"/>
    </row>
    <row r="34" spans="1:6" x14ac:dyDescent="0.3">
      <c r="A34" s="48" t="s">
        <v>12</v>
      </c>
      <c r="B34" s="17">
        <v>16</v>
      </c>
      <c r="C34" s="49">
        <v>2240</v>
      </c>
      <c r="D34" s="49">
        <v>26880</v>
      </c>
      <c r="E34" s="50">
        <v>0.144018105133217</v>
      </c>
      <c r="F34" s="52" t="s">
        <v>129</v>
      </c>
    </row>
    <row r="35" spans="1:6" x14ac:dyDescent="0.3">
      <c r="A35" s="48" t="s">
        <v>21</v>
      </c>
      <c r="B35" s="17">
        <v>5</v>
      </c>
      <c r="C35" s="49">
        <v>640</v>
      </c>
      <c r="D35" s="49">
        <v>7680</v>
      </c>
      <c r="E35" s="50">
        <v>4.1148030038061903E-2</v>
      </c>
      <c r="F35" s="52"/>
    </row>
    <row r="36" spans="1:6" ht="27.6" x14ac:dyDescent="0.3">
      <c r="A36" s="48" t="s">
        <v>130</v>
      </c>
      <c r="B36" s="17">
        <v>4</v>
      </c>
      <c r="C36" s="49">
        <v>185.6</v>
      </c>
      <c r="D36" s="49">
        <v>2227.1999999999998</v>
      </c>
      <c r="E36" s="50">
        <v>1.1932928711038E-2</v>
      </c>
      <c r="F36" s="52"/>
    </row>
    <row r="37" spans="1:6" x14ac:dyDescent="0.3">
      <c r="A37" s="48" t="s">
        <v>25</v>
      </c>
      <c r="B37" s="17">
        <v>2</v>
      </c>
      <c r="C37" s="49">
        <v>140</v>
      </c>
      <c r="D37" s="49">
        <v>1680</v>
      </c>
      <c r="E37" s="50">
        <v>9.0011315708260504E-3</v>
      </c>
      <c r="F37" s="52"/>
    </row>
    <row r="39" spans="1:6" ht="21.75" customHeight="1" x14ac:dyDescent="0.3">
      <c r="A39" s="60" t="s">
        <v>131</v>
      </c>
      <c r="B39" s="60"/>
      <c r="C39" s="60"/>
      <c r="D39" s="60"/>
      <c r="E39" s="60"/>
      <c r="F39" s="60"/>
    </row>
    <row r="40" spans="1:6" x14ac:dyDescent="0.3">
      <c r="A40" s="15" t="s">
        <v>2</v>
      </c>
      <c r="B40" s="15" t="s">
        <v>122</v>
      </c>
      <c r="C40" s="15" t="s">
        <v>52</v>
      </c>
      <c r="D40" s="15" t="s">
        <v>53</v>
      </c>
      <c r="E40" s="15" t="s">
        <v>123</v>
      </c>
      <c r="F40" s="15" t="s">
        <v>124</v>
      </c>
    </row>
    <row r="41" spans="1:6" x14ac:dyDescent="0.3">
      <c r="A41" s="48" t="s">
        <v>12</v>
      </c>
      <c r="B41" s="17">
        <v>48</v>
      </c>
      <c r="C41" s="49">
        <v>12550</v>
      </c>
      <c r="D41" s="49">
        <v>150600</v>
      </c>
      <c r="E41" s="50">
        <v>0.94917561639691395</v>
      </c>
      <c r="F41" s="52" t="s">
        <v>132</v>
      </c>
    </row>
    <row r="42" spans="1:6" ht="27.6" x14ac:dyDescent="0.3">
      <c r="A42" s="48" t="s">
        <v>17</v>
      </c>
      <c r="B42" s="17">
        <v>3</v>
      </c>
      <c r="C42" s="49">
        <v>672</v>
      </c>
      <c r="D42" s="49">
        <v>8064</v>
      </c>
      <c r="E42" s="50">
        <v>5.0824383603085797E-2</v>
      </c>
      <c r="F42" s="52"/>
    </row>
    <row r="44" spans="1:6" ht="21.75" customHeight="1" x14ac:dyDescent="0.3">
      <c r="A44" s="60" t="s">
        <v>133</v>
      </c>
      <c r="B44" s="60"/>
      <c r="C44" s="60"/>
      <c r="D44" s="60"/>
      <c r="E44" s="60"/>
      <c r="F44" s="60"/>
    </row>
    <row r="45" spans="1:6" x14ac:dyDescent="0.3">
      <c r="A45" s="15" t="s">
        <v>2</v>
      </c>
      <c r="B45" s="15" t="s">
        <v>122</v>
      </c>
      <c r="C45" s="15" t="s">
        <v>52</v>
      </c>
      <c r="D45" s="15" t="s">
        <v>53</v>
      </c>
      <c r="E45" s="15" t="s">
        <v>123</v>
      </c>
      <c r="F45" s="15" t="s">
        <v>124</v>
      </c>
    </row>
    <row r="46" spans="1:6" x14ac:dyDescent="0.3">
      <c r="A46" s="48" t="s">
        <v>12</v>
      </c>
      <c r="B46" s="17">
        <v>20</v>
      </c>
      <c r="C46" s="49">
        <v>2800</v>
      </c>
      <c r="D46" s="49">
        <v>33600</v>
      </c>
      <c r="E46" s="50">
        <v>1</v>
      </c>
      <c r="F46" s="52" t="s">
        <v>134</v>
      </c>
    </row>
    <row r="48" spans="1:6" ht="21.75" customHeight="1" x14ac:dyDescent="0.3">
      <c r="A48" s="60" t="s">
        <v>135</v>
      </c>
      <c r="B48" s="60"/>
      <c r="C48" s="60"/>
      <c r="D48" s="60"/>
      <c r="E48" s="60"/>
      <c r="F48" s="60"/>
    </row>
    <row r="49" spans="1:6" x14ac:dyDescent="0.3">
      <c r="A49" s="15" t="s">
        <v>2</v>
      </c>
      <c r="B49" s="15" t="s">
        <v>122</v>
      </c>
      <c r="C49" s="15" t="s">
        <v>52</v>
      </c>
      <c r="D49" s="15" t="s">
        <v>53</v>
      </c>
      <c r="E49" s="15" t="s">
        <v>123</v>
      </c>
      <c r="F49" s="15" t="s">
        <v>124</v>
      </c>
    </row>
    <row r="50" spans="1:6" x14ac:dyDescent="0.3">
      <c r="A50" s="48" t="s">
        <v>12</v>
      </c>
      <c r="B50" s="17">
        <v>8</v>
      </c>
      <c r="C50" s="49">
        <v>1120</v>
      </c>
      <c r="D50" s="49">
        <v>13440</v>
      </c>
      <c r="E50" s="50">
        <v>1</v>
      </c>
      <c r="F50" s="52" t="s">
        <v>136</v>
      </c>
    </row>
  </sheetData>
  <mergeCells count="22">
    <mergeCell ref="A25:F25"/>
    <mergeCell ref="A30:F30"/>
    <mergeCell ref="A39:F39"/>
    <mergeCell ref="A44:F44"/>
    <mergeCell ref="A48:F48"/>
    <mergeCell ref="A19:D19"/>
    <mergeCell ref="E19:F19"/>
    <mergeCell ref="A20:D20"/>
    <mergeCell ref="E20:F20"/>
    <mergeCell ref="A23:F23"/>
    <mergeCell ref="A16:D16"/>
    <mergeCell ref="E16:F16"/>
    <mergeCell ref="A17:D17"/>
    <mergeCell ref="E17:F17"/>
    <mergeCell ref="A18:D18"/>
    <mergeCell ref="E18:F18"/>
    <mergeCell ref="A1:F1"/>
    <mergeCell ref="A2:F2"/>
    <mergeCell ref="A4:F4"/>
    <mergeCell ref="A14:F14"/>
    <mergeCell ref="A15:D15"/>
    <mergeCell ref="E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1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6" customWidth="1"/>
    <col min="3" max="3" width="36" customWidth="1"/>
    <col min="4" max="4" width="32" customWidth="1"/>
    <col min="5" max="5" width="8" customWidth="1"/>
    <col min="6" max="6" width="26" customWidth="1"/>
    <col min="7" max="7" width="12" customWidth="1"/>
    <col min="8" max="8" width="18" customWidth="1"/>
  </cols>
  <sheetData>
    <row r="1" spans="1:8" ht="30" customHeight="1" x14ac:dyDescent="0.3">
      <c r="A1" s="14" t="s">
        <v>151</v>
      </c>
      <c r="B1" s="14"/>
      <c r="C1" s="14"/>
      <c r="D1" s="14"/>
      <c r="E1" s="14"/>
      <c r="F1" s="14"/>
      <c r="G1" s="14"/>
      <c r="H1" s="14"/>
    </row>
    <row r="2" spans="1:8" x14ac:dyDescent="0.3">
      <c r="A2" s="13" t="s">
        <v>152</v>
      </c>
      <c r="B2" s="13"/>
      <c r="C2" s="13"/>
      <c r="D2" s="13"/>
      <c r="E2" s="13"/>
      <c r="F2" s="13"/>
      <c r="G2" s="13"/>
      <c r="H2" s="13"/>
    </row>
    <row r="4" spans="1:8" ht="24" customHeight="1" x14ac:dyDescent="0.3">
      <c r="A4" s="60" t="s">
        <v>153</v>
      </c>
      <c r="B4" s="60"/>
      <c r="C4" s="60"/>
      <c r="D4" s="60"/>
      <c r="E4" s="60"/>
      <c r="F4" s="60"/>
      <c r="G4" s="60"/>
      <c r="H4" s="60"/>
    </row>
    <row r="5" spans="1:8" x14ac:dyDescent="0.3">
      <c r="A5" s="15" t="s">
        <v>46</v>
      </c>
      <c r="B5" s="15" t="s">
        <v>47</v>
      </c>
      <c r="C5" s="15" t="s">
        <v>154</v>
      </c>
      <c r="D5" s="15" t="s">
        <v>155</v>
      </c>
      <c r="E5" s="15" t="s">
        <v>48</v>
      </c>
      <c r="F5" s="15" t="s">
        <v>156</v>
      </c>
      <c r="G5" s="15" t="s">
        <v>157</v>
      </c>
      <c r="H5" s="15" t="s">
        <v>158</v>
      </c>
    </row>
    <row r="6" spans="1:8" x14ac:dyDescent="0.3">
      <c r="A6" s="42">
        <v>1</v>
      </c>
      <c r="B6" s="43" t="s">
        <v>159</v>
      </c>
      <c r="C6" s="43" t="s">
        <v>160</v>
      </c>
      <c r="D6" s="43" t="s">
        <v>161</v>
      </c>
      <c r="E6" s="42" t="s">
        <v>70</v>
      </c>
      <c r="F6" s="43" t="s">
        <v>162</v>
      </c>
      <c r="G6" s="38" t="s">
        <v>163</v>
      </c>
      <c r="H6" s="53">
        <v>670</v>
      </c>
    </row>
    <row r="7" spans="1:8" ht="26.4" x14ac:dyDescent="0.3">
      <c r="A7" s="42">
        <v>2</v>
      </c>
      <c r="B7" s="43" t="s">
        <v>164</v>
      </c>
      <c r="C7" s="43" t="s">
        <v>165</v>
      </c>
      <c r="D7" s="43" t="s">
        <v>166</v>
      </c>
      <c r="E7" s="42" t="s">
        <v>79</v>
      </c>
      <c r="F7" s="43" t="s">
        <v>167</v>
      </c>
      <c r="G7" s="38" t="s">
        <v>163</v>
      </c>
      <c r="H7" s="53">
        <v>670</v>
      </c>
    </row>
    <row r="8" spans="1:8" x14ac:dyDescent="0.3">
      <c r="A8" s="42">
        <v>3</v>
      </c>
      <c r="B8" s="43" t="s">
        <v>168</v>
      </c>
      <c r="C8" s="43" t="s">
        <v>169</v>
      </c>
      <c r="D8" s="43" t="s">
        <v>161</v>
      </c>
      <c r="E8" s="42" t="s">
        <v>70</v>
      </c>
      <c r="F8" s="43" t="s">
        <v>162</v>
      </c>
      <c r="G8" s="38" t="s">
        <v>163</v>
      </c>
      <c r="H8" s="53">
        <v>670</v>
      </c>
    </row>
    <row r="9" spans="1:8" ht="26.4" x14ac:dyDescent="0.3">
      <c r="A9" s="42">
        <v>4</v>
      </c>
      <c r="B9" s="43" t="s">
        <v>170</v>
      </c>
      <c r="C9" s="43" t="s">
        <v>171</v>
      </c>
      <c r="D9" s="43" t="s">
        <v>172</v>
      </c>
      <c r="E9" s="42" t="s">
        <v>79</v>
      </c>
      <c r="F9" s="43" t="s">
        <v>173</v>
      </c>
      <c r="G9" s="38" t="s">
        <v>163</v>
      </c>
      <c r="H9" s="53">
        <v>670</v>
      </c>
    </row>
    <row r="10" spans="1:8" x14ac:dyDescent="0.3">
      <c r="A10" s="42">
        <v>5</v>
      </c>
      <c r="B10" s="43" t="s">
        <v>174</v>
      </c>
      <c r="C10" s="43" t="s">
        <v>175</v>
      </c>
      <c r="D10" s="43" t="s">
        <v>176</v>
      </c>
      <c r="E10" s="42" t="s">
        <v>70</v>
      </c>
      <c r="F10" s="43" t="s">
        <v>177</v>
      </c>
      <c r="G10" s="38" t="s">
        <v>163</v>
      </c>
      <c r="H10" s="53">
        <v>670</v>
      </c>
    </row>
    <row r="11" spans="1:8" x14ac:dyDescent="0.3">
      <c r="A11" s="42">
        <v>6</v>
      </c>
      <c r="B11" s="43" t="s">
        <v>178</v>
      </c>
      <c r="C11" s="43" t="s">
        <v>179</v>
      </c>
      <c r="D11" s="43" t="s">
        <v>71</v>
      </c>
      <c r="E11" s="42" t="s">
        <v>70</v>
      </c>
      <c r="F11" s="43" t="s">
        <v>174</v>
      </c>
      <c r="G11" s="38" t="s">
        <v>163</v>
      </c>
      <c r="H11" s="53">
        <v>670</v>
      </c>
    </row>
    <row r="12" spans="1:8" x14ac:dyDescent="0.3">
      <c r="A12" s="42">
        <v>7</v>
      </c>
      <c r="B12" s="43" t="s">
        <v>180</v>
      </c>
      <c r="C12" s="43" t="s">
        <v>181</v>
      </c>
      <c r="D12" s="43" t="s">
        <v>182</v>
      </c>
      <c r="E12" s="42" t="s">
        <v>70</v>
      </c>
      <c r="F12" s="43" t="s">
        <v>183</v>
      </c>
      <c r="G12" s="38" t="s">
        <v>163</v>
      </c>
      <c r="H12" s="53">
        <v>670</v>
      </c>
    </row>
    <row r="13" spans="1:8" ht="26.4" x14ac:dyDescent="0.3">
      <c r="A13" s="42">
        <v>8</v>
      </c>
      <c r="B13" s="43" t="s">
        <v>184</v>
      </c>
      <c r="C13" s="43" t="s">
        <v>185</v>
      </c>
      <c r="D13" s="43" t="s">
        <v>186</v>
      </c>
      <c r="E13" s="42" t="s">
        <v>70</v>
      </c>
      <c r="F13" s="43" t="s">
        <v>187</v>
      </c>
      <c r="G13" s="38" t="s">
        <v>163</v>
      </c>
      <c r="H13" s="53">
        <v>670</v>
      </c>
    </row>
    <row r="14" spans="1:8" x14ac:dyDescent="0.3">
      <c r="A14" s="42">
        <v>9</v>
      </c>
      <c r="B14" s="43" t="s">
        <v>188</v>
      </c>
      <c r="C14" s="43" t="s">
        <v>189</v>
      </c>
      <c r="D14" s="43" t="s">
        <v>84</v>
      </c>
      <c r="E14" s="42" t="s">
        <v>70</v>
      </c>
      <c r="F14" s="43" t="s">
        <v>187</v>
      </c>
      <c r="G14" s="38" t="s">
        <v>163</v>
      </c>
      <c r="H14" s="53">
        <v>670</v>
      </c>
    </row>
    <row r="15" spans="1:8" ht="26.4" x14ac:dyDescent="0.3">
      <c r="A15" s="42">
        <v>10</v>
      </c>
      <c r="B15" s="43" t="s">
        <v>73</v>
      </c>
      <c r="C15" s="43" t="s">
        <v>190</v>
      </c>
      <c r="D15" s="43" t="s">
        <v>71</v>
      </c>
      <c r="E15" s="42" t="s">
        <v>70</v>
      </c>
      <c r="F15" s="43" t="s">
        <v>174</v>
      </c>
      <c r="G15" s="38" t="s">
        <v>163</v>
      </c>
      <c r="H15" s="53">
        <v>670</v>
      </c>
    </row>
    <row r="16" spans="1:8" x14ac:dyDescent="0.3">
      <c r="A16" s="42">
        <v>11</v>
      </c>
      <c r="B16" s="43" t="s">
        <v>191</v>
      </c>
      <c r="C16" s="43" t="s">
        <v>192</v>
      </c>
      <c r="D16" s="43" t="s">
        <v>182</v>
      </c>
      <c r="E16" s="42" t="s">
        <v>70</v>
      </c>
      <c r="F16" s="43" t="s">
        <v>183</v>
      </c>
      <c r="G16" s="38" t="s">
        <v>163</v>
      </c>
      <c r="H16" s="53">
        <v>670</v>
      </c>
    </row>
    <row r="17" spans="1:8" ht="26.4" x14ac:dyDescent="0.3">
      <c r="A17" s="42">
        <v>12</v>
      </c>
      <c r="B17" s="43" t="s">
        <v>193</v>
      </c>
      <c r="C17" s="43" t="s">
        <v>194</v>
      </c>
      <c r="D17" s="43" t="s">
        <v>195</v>
      </c>
      <c r="E17" s="42" t="s">
        <v>70</v>
      </c>
      <c r="F17" s="43" t="s">
        <v>177</v>
      </c>
      <c r="G17" s="38" t="s">
        <v>163</v>
      </c>
      <c r="H17" s="53">
        <v>670</v>
      </c>
    </row>
    <row r="18" spans="1:8" x14ac:dyDescent="0.3">
      <c r="A18" s="42">
        <v>13</v>
      </c>
      <c r="B18" s="43" t="s">
        <v>196</v>
      </c>
      <c r="C18" s="43" t="s">
        <v>197</v>
      </c>
      <c r="D18" s="43" t="s">
        <v>182</v>
      </c>
      <c r="E18" s="42" t="s">
        <v>70</v>
      </c>
      <c r="F18" s="43" t="s">
        <v>183</v>
      </c>
      <c r="G18" s="38" t="s">
        <v>163</v>
      </c>
      <c r="H18" s="53">
        <v>670</v>
      </c>
    </row>
    <row r="19" spans="1:8" ht="26.4" x14ac:dyDescent="0.3">
      <c r="A19" s="42">
        <v>14</v>
      </c>
      <c r="B19" s="43" t="s">
        <v>69</v>
      </c>
      <c r="C19" s="43" t="s">
        <v>198</v>
      </c>
      <c r="D19" s="43" t="s">
        <v>71</v>
      </c>
      <c r="E19" s="42" t="s">
        <v>70</v>
      </c>
      <c r="F19" s="43" t="s">
        <v>199</v>
      </c>
      <c r="G19" s="38" t="s">
        <v>163</v>
      </c>
      <c r="H19" s="53">
        <v>670</v>
      </c>
    </row>
    <row r="20" spans="1:8" ht="26.4" x14ac:dyDescent="0.3">
      <c r="A20" s="42">
        <v>15</v>
      </c>
      <c r="B20" s="43" t="s">
        <v>200</v>
      </c>
      <c r="C20" s="43" t="s">
        <v>201</v>
      </c>
      <c r="D20" s="43" t="s">
        <v>80</v>
      </c>
      <c r="E20" s="42" t="s">
        <v>79</v>
      </c>
      <c r="F20" s="43" t="s">
        <v>164</v>
      </c>
      <c r="G20" s="38" t="s">
        <v>163</v>
      </c>
      <c r="H20" s="53">
        <v>670</v>
      </c>
    </row>
    <row r="21" spans="1:8" ht="26.4" x14ac:dyDescent="0.3">
      <c r="A21" s="42">
        <v>16</v>
      </c>
      <c r="B21" s="43" t="s">
        <v>202</v>
      </c>
      <c r="C21" s="43" t="s">
        <v>203</v>
      </c>
      <c r="D21" s="43" t="s">
        <v>161</v>
      </c>
      <c r="E21" s="42" t="s">
        <v>70</v>
      </c>
      <c r="F21" s="43" t="s">
        <v>162</v>
      </c>
      <c r="G21" s="38" t="s">
        <v>163</v>
      </c>
      <c r="H21" s="53">
        <v>670</v>
      </c>
    </row>
    <row r="22" spans="1:8" x14ac:dyDescent="0.3">
      <c r="A22" s="42">
        <v>17</v>
      </c>
      <c r="B22" s="43" t="s">
        <v>204</v>
      </c>
      <c r="C22" s="43" t="s">
        <v>205</v>
      </c>
      <c r="D22" s="43" t="s">
        <v>84</v>
      </c>
      <c r="E22" s="42" t="s">
        <v>70</v>
      </c>
      <c r="F22" s="43" t="s">
        <v>187</v>
      </c>
      <c r="G22" s="38" t="s">
        <v>163</v>
      </c>
      <c r="H22" s="53">
        <v>670</v>
      </c>
    </row>
    <row r="23" spans="1:8" x14ac:dyDescent="0.3">
      <c r="A23" s="42">
        <v>18</v>
      </c>
      <c r="B23" s="43" t="s">
        <v>206</v>
      </c>
      <c r="C23" s="43" t="s">
        <v>207</v>
      </c>
      <c r="D23" s="43" t="s">
        <v>208</v>
      </c>
      <c r="E23" s="42" t="s">
        <v>79</v>
      </c>
      <c r="F23" s="43" t="s">
        <v>167</v>
      </c>
      <c r="G23" s="38" t="s">
        <v>163</v>
      </c>
      <c r="H23" s="53">
        <v>670</v>
      </c>
    </row>
    <row r="24" spans="1:8" x14ac:dyDescent="0.3">
      <c r="A24" s="42">
        <v>19</v>
      </c>
      <c r="B24" s="43" t="s">
        <v>177</v>
      </c>
      <c r="C24" s="43" t="s">
        <v>209</v>
      </c>
      <c r="D24" s="43" t="s">
        <v>67</v>
      </c>
      <c r="E24" s="42" t="s">
        <v>70</v>
      </c>
      <c r="F24" s="43" t="s">
        <v>210</v>
      </c>
      <c r="G24" s="38" t="s">
        <v>163</v>
      </c>
      <c r="H24" s="53">
        <v>670</v>
      </c>
    </row>
    <row r="25" spans="1:8" x14ac:dyDescent="0.3">
      <c r="A25" s="42">
        <v>20</v>
      </c>
      <c r="B25" s="43" t="s">
        <v>162</v>
      </c>
      <c r="C25" s="43" t="s">
        <v>211</v>
      </c>
      <c r="D25" s="43" t="s">
        <v>195</v>
      </c>
      <c r="E25" s="42" t="s">
        <v>70</v>
      </c>
      <c r="F25" s="43" t="s">
        <v>177</v>
      </c>
      <c r="G25" s="38" t="s">
        <v>163</v>
      </c>
      <c r="H25" s="53">
        <v>670</v>
      </c>
    </row>
    <row r="26" spans="1:8" ht="26.4" x14ac:dyDescent="0.3">
      <c r="A26" s="42">
        <v>21</v>
      </c>
      <c r="B26" s="43" t="s">
        <v>212</v>
      </c>
      <c r="C26" s="43" t="s">
        <v>213</v>
      </c>
      <c r="D26" s="43" t="s">
        <v>84</v>
      </c>
      <c r="E26" s="42" t="s">
        <v>70</v>
      </c>
      <c r="F26" s="43" t="s">
        <v>199</v>
      </c>
      <c r="G26" s="38" t="s">
        <v>163</v>
      </c>
      <c r="H26" s="53">
        <v>670</v>
      </c>
    </row>
    <row r="27" spans="1:8" ht="26.4" x14ac:dyDescent="0.3">
      <c r="A27" s="42">
        <v>22</v>
      </c>
      <c r="B27" s="43" t="s">
        <v>74</v>
      </c>
      <c r="C27" s="43" t="s">
        <v>214</v>
      </c>
      <c r="D27" s="43" t="s">
        <v>75</v>
      </c>
      <c r="E27" s="42" t="s">
        <v>70</v>
      </c>
      <c r="F27" s="43" t="s">
        <v>174</v>
      </c>
      <c r="G27" s="38" t="s">
        <v>163</v>
      </c>
      <c r="H27" s="53">
        <v>670</v>
      </c>
    </row>
    <row r="28" spans="1:8" ht="26.4" x14ac:dyDescent="0.3">
      <c r="A28" s="42">
        <v>23</v>
      </c>
      <c r="B28" s="43" t="s">
        <v>215</v>
      </c>
      <c r="C28" s="43" t="s">
        <v>216</v>
      </c>
      <c r="D28" s="43" t="s">
        <v>217</v>
      </c>
      <c r="E28" s="42" t="s">
        <v>79</v>
      </c>
      <c r="F28" s="43" t="s">
        <v>170</v>
      </c>
      <c r="G28" s="38" t="s">
        <v>163</v>
      </c>
      <c r="H28" s="53">
        <v>670</v>
      </c>
    </row>
    <row r="29" spans="1:8" x14ac:dyDescent="0.3">
      <c r="A29" s="42">
        <v>24</v>
      </c>
      <c r="B29" s="43" t="s">
        <v>218</v>
      </c>
      <c r="C29" s="43" t="s">
        <v>219</v>
      </c>
      <c r="D29" s="43" t="s">
        <v>220</v>
      </c>
      <c r="E29" s="42" t="s">
        <v>79</v>
      </c>
      <c r="F29" s="43" t="s">
        <v>170</v>
      </c>
      <c r="G29" s="38" t="s">
        <v>163</v>
      </c>
      <c r="H29" s="53">
        <v>670</v>
      </c>
    </row>
    <row r="30" spans="1:8" ht="26.4" x14ac:dyDescent="0.3">
      <c r="A30" s="42">
        <v>25</v>
      </c>
      <c r="B30" s="43" t="s">
        <v>221</v>
      </c>
      <c r="C30" s="43" t="s">
        <v>222</v>
      </c>
      <c r="D30" s="43" t="s">
        <v>223</v>
      </c>
      <c r="E30" s="42" t="s">
        <v>79</v>
      </c>
      <c r="F30" s="43" t="s">
        <v>224</v>
      </c>
      <c r="G30" s="38" t="s">
        <v>163</v>
      </c>
      <c r="H30" s="53">
        <v>670</v>
      </c>
    </row>
    <row r="31" spans="1:8" x14ac:dyDescent="0.3">
      <c r="A31" s="42">
        <v>26</v>
      </c>
      <c r="B31" s="43" t="s">
        <v>225</v>
      </c>
      <c r="C31" s="43" t="s">
        <v>226</v>
      </c>
      <c r="D31" s="43" t="s">
        <v>182</v>
      </c>
      <c r="E31" s="42" t="s">
        <v>70</v>
      </c>
      <c r="F31" s="43" t="s">
        <v>183</v>
      </c>
      <c r="G31" s="38" t="s">
        <v>163</v>
      </c>
      <c r="H31" s="53">
        <v>670</v>
      </c>
    </row>
    <row r="32" spans="1:8" ht="26.4" x14ac:dyDescent="0.3">
      <c r="A32" s="42">
        <v>27</v>
      </c>
      <c r="B32" s="43" t="s">
        <v>227</v>
      </c>
      <c r="C32" s="43" t="s">
        <v>228</v>
      </c>
      <c r="D32" s="43" t="s">
        <v>71</v>
      </c>
      <c r="E32" s="42" t="s">
        <v>70</v>
      </c>
      <c r="F32" s="43" t="s">
        <v>199</v>
      </c>
      <c r="G32" s="38" t="s">
        <v>163</v>
      </c>
      <c r="H32" s="53">
        <v>670</v>
      </c>
    </row>
    <row r="33" spans="1:8" ht="26.4" x14ac:dyDescent="0.3">
      <c r="A33" s="42">
        <v>28</v>
      </c>
      <c r="B33" s="43" t="s">
        <v>229</v>
      </c>
      <c r="C33" s="43" t="s">
        <v>230</v>
      </c>
      <c r="D33" s="43" t="s">
        <v>231</v>
      </c>
      <c r="E33" s="42" t="s">
        <v>70</v>
      </c>
      <c r="F33" s="43" t="s">
        <v>199</v>
      </c>
      <c r="G33" s="38" t="s">
        <v>163</v>
      </c>
      <c r="H33" s="53">
        <v>670</v>
      </c>
    </row>
    <row r="34" spans="1:8" x14ac:dyDescent="0.3">
      <c r="A34" s="42">
        <v>29</v>
      </c>
      <c r="B34" s="43" t="s">
        <v>232</v>
      </c>
      <c r="C34" s="43" t="s">
        <v>233</v>
      </c>
      <c r="D34" s="43" t="s">
        <v>234</v>
      </c>
      <c r="E34" s="42" t="s">
        <v>70</v>
      </c>
      <c r="F34" s="43" t="s">
        <v>162</v>
      </c>
      <c r="G34" s="38" t="s">
        <v>163</v>
      </c>
      <c r="H34" s="53">
        <v>670</v>
      </c>
    </row>
    <row r="35" spans="1:8" x14ac:dyDescent="0.3">
      <c r="A35" s="42">
        <v>30</v>
      </c>
      <c r="B35" s="43" t="s">
        <v>224</v>
      </c>
      <c r="C35" s="43" t="s">
        <v>235</v>
      </c>
      <c r="D35" s="43" t="s">
        <v>236</v>
      </c>
      <c r="E35" s="42" t="s">
        <v>79</v>
      </c>
      <c r="F35" s="43" t="s">
        <v>170</v>
      </c>
      <c r="G35" s="38" t="s">
        <v>163</v>
      </c>
      <c r="H35" s="53">
        <v>670</v>
      </c>
    </row>
    <row r="36" spans="1:8" x14ac:dyDescent="0.3">
      <c r="A36" s="42">
        <v>31</v>
      </c>
      <c r="B36" s="43" t="s">
        <v>237</v>
      </c>
      <c r="C36" s="43" t="s">
        <v>238</v>
      </c>
      <c r="D36" s="43" t="s">
        <v>239</v>
      </c>
      <c r="E36" s="42" t="s">
        <v>70</v>
      </c>
      <c r="F36" s="43" t="s">
        <v>187</v>
      </c>
      <c r="G36" s="38" t="s">
        <v>163</v>
      </c>
      <c r="H36" s="53">
        <v>670</v>
      </c>
    </row>
    <row r="37" spans="1:8" x14ac:dyDescent="0.3">
      <c r="A37" s="42">
        <v>32</v>
      </c>
      <c r="B37" s="43" t="s">
        <v>240</v>
      </c>
      <c r="C37" s="43" t="s">
        <v>241</v>
      </c>
      <c r="D37" s="43" t="s">
        <v>161</v>
      </c>
      <c r="E37" s="42" t="s">
        <v>70</v>
      </c>
      <c r="F37" s="43" t="s">
        <v>162</v>
      </c>
      <c r="G37" s="38" t="s">
        <v>163</v>
      </c>
      <c r="H37" s="53">
        <v>670</v>
      </c>
    </row>
    <row r="38" spans="1:8" x14ac:dyDescent="0.3">
      <c r="A38" s="42">
        <v>33</v>
      </c>
      <c r="B38" s="43" t="s">
        <v>183</v>
      </c>
      <c r="C38" s="43" t="s">
        <v>242</v>
      </c>
      <c r="D38" s="43" t="s">
        <v>243</v>
      </c>
      <c r="E38" s="42" t="s">
        <v>70</v>
      </c>
      <c r="F38" s="43" t="s">
        <v>177</v>
      </c>
      <c r="G38" s="38" t="s">
        <v>163</v>
      </c>
      <c r="H38" s="53">
        <v>670</v>
      </c>
    </row>
    <row r="39" spans="1:8" x14ac:dyDescent="0.3">
      <c r="A39" s="42">
        <v>34</v>
      </c>
      <c r="B39" s="43" t="s">
        <v>244</v>
      </c>
      <c r="C39" s="43" t="s">
        <v>245</v>
      </c>
      <c r="D39" s="43" t="s">
        <v>246</v>
      </c>
      <c r="E39" s="42" t="s">
        <v>79</v>
      </c>
      <c r="F39" s="43" t="s">
        <v>218</v>
      </c>
      <c r="G39" s="38" t="s">
        <v>163</v>
      </c>
      <c r="H39" s="53">
        <v>670</v>
      </c>
    </row>
    <row r="40" spans="1:8" x14ac:dyDescent="0.3">
      <c r="A40" s="42">
        <v>35</v>
      </c>
      <c r="B40" s="43" t="s">
        <v>247</v>
      </c>
      <c r="C40" s="43" t="s">
        <v>248</v>
      </c>
      <c r="D40" s="43" t="s">
        <v>249</v>
      </c>
      <c r="E40" s="42" t="s">
        <v>79</v>
      </c>
      <c r="F40" s="43" t="s">
        <v>170</v>
      </c>
      <c r="G40" s="38" t="s">
        <v>163</v>
      </c>
      <c r="H40" s="53">
        <v>670</v>
      </c>
    </row>
    <row r="41" spans="1:8" x14ac:dyDescent="0.3">
      <c r="A41" s="42">
        <v>36</v>
      </c>
      <c r="B41" s="43" t="s">
        <v>250</v>
      </c>
      <c r="C41" s="43" t="s">
        <v>251</v>
      </c>
      <c r="D41" s="43" t="s">
        <v>80</v>
      </c>
      <c r="E41" s="42" t="s">
        <v>79</v>
      </c>
      <c r="F41" s="43" t="s">
        <v>164</v>
      </c>
      <c r="G41" s="38" t="s">
        <v>163</v>
      </c>
      <c r="H41" s="53">
        <v>670</v>
      </c>
    </row>
    <row r="42" spans="1:8" x14ac:dyDescent="0.3">
      <c r="A42" s="42">
        <v>37</v>
      </c>
      <c r="B42" s="43" t="s">
        <v>252</v>
      </c>
      <c r="C42" s="43" t="s">
        <v>253</v>
      </c>
      <c r="D42" s="43" t="s">
        <v>254</v>
      </c>
      <c r="E42" s="42" t="s">
        <v>114</v>
      </c>
      <c r="F42" s="43" t="s">
        <v>255</v>
      </c>
      <c r="G42" s="42" t="s">
        <v>256</v>
      </c>
      <c r="H42" s="45">
        <v>140</v>
      </c>
    </row>
    <row r="43" spans="1:8" x14ac:dyDescent="0.3">
      <c r="A43" s="42">
        <v>38</v>
      </c>
      <c r="B43" s="43" t="s">
        <v>257</v>
      </c>
      <c r="C43" s="43" t="s">
        <v>258</v>
      </c>
      <c r="D43" s="43" t="s">
        <v>259</v>
      </c>
      <c r="E43" s="42" t="s">
        <v>79</v>
      </c>
      <c r="F43" s="43" t="s">
        <v>260</v>
      </c>
      <c r="G43" s="42" t="s">
        <v>256</v>
      </c>
      <c r="H43" s="45">
        <v>140</v>
      </c>
    </row>
    <row r="44" spans="1:8" ht="26.4" x14ac:dyDescent="0.3">
      <c r="A44" s="42">
        <v>39</v>
      </c>
      <c r="B44" s="43" t="s">
        <v>260</v>
      </c>
      <c r="C44" s="43" t="s">
        <v>261</v>
      </c>
      <c r="D44" s="43" t="s">
        <v>262</v>
      </c>
      <c r="E44" s="42" t="s">
        <v>79</v>
      </c>
      <c r="F44" s="43" t="s">
        <v>263</v>
      </c>
      <c r="G44" s="42" t="s">
        <v>256</v>
      </c>
      <c r="H44" s="45">
        <v>140</v>
      </c>
    </row>
    <row r="45" spans="1:8" ht="26.4" x14ac:dyDescent="0.3">
      <c r="A45" s="42">
        <v>40</v>
      </c>
      <c r="B45" s="43" t="s">
        <v>264</v>
      </c>
      <c r="C45" s="43" t="s">
        <v>265</v>
      </c>
      <c r="D45" s="43" t="s">
        <v>266</v>
      </c>
      <c r="E45" s="42" t="s">
        <v>114</v>
      </c>
      <c r="F45" s="43" t="s">
        <v>267</v>
      </c>
      <c r="G45" s="42" t="s">
        <v>256</v>
      </c>
      <c r="H45" s="45">
        <v>140</v>
      </c>
    </row>
    <row r="46" spans="1:8" x14ac:dyDescent="0.3">
      <c r="A46" s="42">
        <v>41</v>
      </c>
      <c r="B46" s="43" t="s">
        <v>268</v>
      </c>
      <c r="C46" s="43" t="s">
        <v>269</v>
      </c>
      <c r="D46" s="43" t="s">
        <v>246</v>
      </c>
      <c r="E46" s="42" t="s">
        <v>79</v>
      </c>
      <c r="F46" s="43" t="s">
        <v>218</v>
      </c>
      <c r="G46" s="42" t="s">
        <v>256</v>
      </c>
      <c r="H46" s="45">
        <v>140</v>
      </c>
    </row>
    <row r="47" spans="1:8" ht="26.4" x14ac:dyDescent="0.3">
      <c r="A47" s="42">
        <v>42</v>
      </c>
      <c r="B47" s="43" t="s">
        <v>76</v>
      </c>
      <c r="C47" s="43" t="s">
        <v>270</v>
      </c>
      <c r="D47" s="43" t="s">
        <v>56</v>
      </c>
      <c r="E47" s="42" t="s">
        <v>55</v>
      </c>
      <c r="F47" s="43" t="s">
        <v>60</v>
      </c>
      <c r="G47" s="42" t="s">
        <v>256</v>
      </c>
      <c r="H47" s="45">
        <v>140</v>
      </c>
    </row>
    <row r="48" spans="1:8" ht="26.4" x14ac:dyDescent="0.3">
      <c r="A48" s="42">
        <v>43</v>
      </c>
      <c r="B48" s="43" t="s">
        <v>271</v>
      </c>
      <c r="C48" s="43" t="s">
        <v>272</v>
      </c>
      <c r="D48" s="43" t="s">
        <v>259</v>
      </c>
      <c r="E48" s="42" t="s">
        <v>79</v>
      </c>
      <c r="F48" s="43" t="s">
        <v>260</v>
      </c>
      <c r="G48" s="42" t="s">
        <v>256</v>
      </c>
      <c r="H48" s="45">
        <v>140</v>
      </c>
    </row>
    <row r="49" spans="1:8" ht="26.4" x14ac:dyDescent="0.3">
      <c r="A49" s="42">
        <v>44</v>
      </c>
      <c r="B49" s="43" t="s">
        <v>273</v>
      </c>
      <c r="C49" s="43" t="s">
        <v>274</v>
      </c>
      <c r="D49" s="43" t="s">
        <v>275</v>
      </c>
      <c r="E49" s="42" t="s">
        <v>79</v>
      </c>
      <c r="F49" s="43" t="s">
        <v>164</v>
      </c>
      <c r="G49" s="42" t="s">
        <v>256</v>
      </c>
      <c r="H49" s="45">
        <v>140</v>
      </c>
    </row>
    <row r="50" spans="1:8" x14ac:dyDescent="0.3">
      <c r="A50" s="42">
        <v>45</v>
      </c>
      <c r="B50" s="43" t="s">
        <v>276</v>
      </c>
      <c r="C50" s="43" t="s">
        <v>277</v>
      </c>
      <c r="D50" s="43" t="s">
        <v>278</v>
      </c>
      <c r="E50" s="42" t="s">
        <v>55</v>
      </c>
      <c r="F50" s="43" t="s">
        <v>279</v>
      </c>
      <c r="G50" s="42" t="s">
        <v>256</v>
      </c>
      <c r="H50" s="45">
        <v>140</v>
      </c>
    </row>
    <row r="51" spans="1:8" x14ac:dyDescent="0.3">
      <c r="A51" s="42">
        <v>46</v>
      </c>
      <c r="B51" s="43" t="s">
        <v>280</v>
      </c>
      <c r="C51" s="43" t="s">
        <v>281</v>
      </c>
      <c r="D51" s="43" t="s">
        <v>266</v>
      </c>
      <c r="E51" s="42" t="s">
        <v>114</v>
      </c>
      <c r="F51" s="43" t="s">
        <v>252</v>
      </c>
      <c r="G51" s="42" t="s">
        <v>256</v>
      </c>
      <c r="H51" s="45">
        <v>140</v>
      </c>
    </row>
    <row r="52" spans="1:8" ht="26.4" x14ac:dyDescent="0.3">
      <c r="A52" s="42">
        <v>47</v>
      </c>
      <c r="B52" s="43" t="s">
        <v>282</v>
      </c>
      <c r="C52" s="43" t="s">
        <v>283</v>
      </c>
      <c r="D52" s="43" t="s">
        <v>284</v>
      </c>
      <c r="E52" s="42" t="s">
        <v>79</v>
      </c>
      <c r="F52" s="43" t="s">
        <v>224</v>
      </c>
      <c r="G52" s="42" t="s">
        <v>256</v>
      </c>
      <c r="H52" s="45">
        <v>140</v>
      </c>
    </row>
    <row r="53" spans="1:8" x14ac:dyDescent="0.3">
      <c r="A53" s="42">
        <v>48</v>
      </c>
      <c r="B53" s="43" t="s">
        <v>285</v>
      </c>
      <c r="C53" s="43" t="s">
        <v>286</v>
      </c>
      <c r="D53" s="43" t="s">
        <v>266</v>
      </c>
      <c r="E53" s="42" t="s">
        <v>114</v>
      </c>
      <c r="F53" s="43" t="s">
        <v>287</v>
      </c>
      <c r="G53" s="42" t="s">
        <v>256</v>
      </c>
      <c r="H53" s="45">
        <v>140</v>
      </c>
    </row>
    <row r="54" spans="1:8" ht="26.4" x14ac:dyDescent="0.3">
      <c r="A54" s="42">
        <v>49</v>
      </c>
      <c r="B54" s="43" t="s">
        <v>288</v>
      </c>
      <c r="C54" s="43" t="s">
        <v>289</v>
      </c>
      <c r="D54" s="43" t="s">
        <v>290</v>
      </c>
      <c r="E54" s="42" t="s">
        <v>114</v>
      </c>
      <c r="F54" s="43" t="s">
        <v>291</v>
      </c>
      <c r="G54" s="42" t="s">
        <v>256</v>
      </c>
      <c r="H54" s="45">
        <v>140</v>
      </c>
    </row>
    <row r="55" spans="1:8" ht="26.4" x14ac:dyDescent="0.3">
      <c r="A55" s="42">
        <v>50</v>
      </c>
      <c r="B55" s="43" t="s">
        <v>292</v>
      </c>
      <c r="C55" s="43" t="s">
        <v>293</v>
      </c>
      <c r="D55" s="43" t="s">
        <v>294</v>
      </c>
      <c r="E55" s="42" t="s">
        <v>70</v>
      </c>
      <c r="F55" s="43" t="s">
        <v>177</v>
      </c>
      <c r="G55" s="42" t="s">
        <v>256</v>
      </c>
      <c r="H55" s="45">
        <v>140</v>
      </c>
    </row>
    <row r="56" spans="1:8" x14ac:dyDescent="0.3">
      <c r="A56" s="42">
        <v>51</v>
      </c>
      <c r="B56" s="43" t="s">
        <v>295</v>
      </c>
      <c r="C56" s="43" t="s">
        <v>296</v>
      </c>
      <c r="D56" s="43" t="s">
        <v>297</v>
      </c>
      <c r="E56" s="42" t="s">
        <v>116</v>
      </c>
      <c r="F56" s="43" t="s">
        <v>298</v>
      </c>
      <c r="G56" s="42" t="s">
        <v>256</v>
      </c>
      <c r="H56" s="45">
        <v>140</v>
      </c>
    </row>
    <row r="57" spans="1:8" x14ac:dyDescent="0.3">
      <c r="A57" s="42">
        <v>52</v>
      </c>
      <c r="B57" s="43" t="s">
        <v>299</v>
      </c>
      <c r="C57" s="43" t="s">
        <v>300</v>
      </c>
      <c r="D57" s="43" t="s">
        <v>301</v>
      </c>
      <c r="E57" s="42" t="s">
        <v>114</v>
      </c>
      <c r="F57" s="43" t="s">
        <v>302</v>
      </c>
      <c r="G57" s="42" t="s">
        <v>256</v>
      </c>
      <c r="H57" s="45">
        <v>140</v>
      </c>
    </row>
    <row r="58" spans="1:8" ht="26.4" x14ac:dyDescent="0.3">
      <c r="A58" s="42">
        <v>53</v>
      </c>
      <c r="B58" s="43" t="s">
        <v>303</v>
      </c>
      <c r="C58" s="43" t="s">
        <v>304</v>
      </c>
      <c r="D58" s="43" t="s">
        <v>305</v>
      </c>
      <c r="E58" s="42" t="s">
        <v>79</v>
      </c>
      <c r="F58" s="43" t="s">
        <v>306</v>
      </c>
      <c r="G58" s="42" t="s">
        <v>256</v>
      </c>
      <c r="H58" s="45">
        <v>140</v>
      </c>
    </row>
    <row r="59" spans="1:8" x14ac:dyDescent="0.3">
      <c r="A59" s="42">
        <v>54</v>
      </c>
      <c r="B59" s="43" t="s">
        <v>85</v>
      </c>
      <c r="C59" s="43" t="s">
        <v>307</v>
      </c>
      <c r="D59" s="43" t="s">
        <v>86</v>
      </c>
      <c r="E59" s="42" t="s">
        <v>70</v>
      </c>
      <c r="F59" s="43" t="s">
        <v>191</v>
      </c>
      <c r="G59" s="42" t="s">
        <v>256</v>
      </c>
      <c r="H59" s="45">
        <v>140</v>
      </c>
    </row>
    <row r="60" spans="1:8" x14ac:dyDescent="0.3">
      <c r="A60" s="42">
        <v>55</v>
      </c>
      <c r="B60" s="43" t="s">
        <v>308</v>
      </c>
      <c r="C60" s="43" t="s">
        <v>309</v>
      </c>
      <c r="D60" s="43" t="s">
        <v>254</v>
      </c>
      <c r="E60" s="42" t="s">
        <v>114</v>
      </c>
      <c r="F60" s="43" t="s">
        <v>255</v>
      </c>
      <c r="G60" s="42" t="s">
        <v>256</v>
      </c>
      <c r="H60" s="45">
        <v>140</v>
      </c>
    </row>
    <row r="61" spans="1:8" x14ac:dyDescent="0.3">
      <c r="A61" s="42">
        <v>56</v>
      </c>
      <c r="B61" s="43" t="s">
        <v>263</v>
      </c>
      <c r="C61" s="43" t="s">
        <v>310</v>
      </c>
      <c r="D61" s="43" t="s">
        <v>311</v>
      </c>
      <c r="E61" s="42" t="s">
        <v>79</v>
      </c>
      <c r="F61" s="43" t="s">
        <v>167</v>
      </c>
      <c r="G61" s="42" t="s">
        <v>256</v>
      </c>
      <c r="H61" s="45">
        <v>140</v>
      </c>
    </row>
    <row r="62" spans="1:8" x14ac:dyDescent="0.3">
      <c r="A62" s="42">
        <v>57</v>
      </c>
      <c r="B62" s="43" t="s">
        <v>312</v>
      </c>
      <c r="C62" s="43" t="s">
        <v>313</v>
      </c>
      <c r="D62" s="43" t="s">
        <v>314</v>
      </c>
      <c r="E62" s="42" t="s">
        <v>55</v>
      </c>
      <c r="F62" s="43" t="s">
        <v>315</v>
      </c>
      <c r="G62" s="42" t="s">
        <v>256</v>
      </c>
      <c r="H62" s="45">
        <v>140</v>
      </c>
    </row>
    <row r="63" spans="1:8" x14ac:dyDescent="0.3">
      <c r="A63" s="42">
        <v>58</v>
      </c>
      <c r="B63" s="43" t="s">
        <v>267</v>
      </c>
      <c r="C63" s="43" t="s">
        <v>316</v>
      </c>
      <c r="D63" s="43" t="s">
        <v>290</v>
      </c>
      <c r="E63" s="42" t="s">
        <v>114</v>
      </c>
      <c r="F63" s="43" t="s">
        <v>308</v>
      </c>
      <c r="G63" s="42" t="s">
        <v>256</v>
      </c>
      <c r="H63" s="45">
        <v>140</v>
      </c>
    </row>
    <row r="64" spans="1:8" x14ac:dyDescent="0.3">
      <c r="A64" s="42">
        <v>59</v>
      </c>
      <c r="B64" s="43" t="s">
        <v>315</v>
      </c>
      <c r="C64" s="43" t="s">
        <v>317</v>
      </c>
      <c r="D64" s="43" t="s">
        <v>278</v>
      </c>
      <c r="E64" s="42" t="s">
        <v>55</v>
      </c>
      <c r="F64" s="43" t="s">
        <v>279</v>
      </c>
      <c r="G64" s="42" t="s">
        <v>256</v>
      </c>
      <c r="H64" s="45">
        <v>140</v>
      </c>
    </row>
    <row r="65" spans="1:8" x14ac:dyDescent="0.3">
      <c r="A65" s="42">
        <v>60</v>
      </c>
      <c r="B65" s="43" t="s">
        <v>318</v>
      </c>
      <c r="C65" s="43" t="s">
        <v>319</v>
      </c>
      <c r="D65" s="43" t="s">
        <v>320</v>
      </c>
      <c r="E65" s="42" t="s">
        <v>79</v>
      </c>
      <c r="F65" s="43" t="s">
        <v>321</v>
      </c>
      <c r="G65" s="42" t="s">
        <v>256</v>
      </c>
      <c r="H65" s="45">
        <v>140</v>
      </c>
    </row>
    <row r="66" spans="1:8" ht="26.4" x14ac:dyDescent="0.3">
      <c r="A66" s="42">
        <v>61</v>
      </c>
      <c r="B66" s="43" t="s">
        <v>322</v>
      </c>
      <c r="C66" s="43" t="s">
        <v>323</v>
      </c>
      <c r="D66" s="43" t="s">
        <v>324</v>
      </c>
      <c r="E66" s="42" t="s">
        <v>70</v>
      </c>
      <c r="F66" s="43" t="s">
        <v>325</v>
      </c>
      <c r="G66" s="42" t="s">
        <v>256</v>
      </c>
      <c r="H66" s="45">
        <v>140</v>
      </c>
    </row>
    <row r="67" spans="1:8" ht="26.4" x14ac:dyDescent="0.3">
      <c r="A67" s="42">
        <v>62</v>
      </c>
      <c r="B67" s="43" t="s">
        <v>326</v>
      </c>
      <c r="C67" s="43" t="s">
        <v>327</v>
      </c>
      <c r="D67" s="43" t="s">
        <v>284</v>
      </c>
      <c r="E67" s="42" t="s">
        <v>79</v>
      </c>
      <c r="F67" s="43" t="s">
        <v>218</v>
      </c>
      <c r="G67" s="42" t="s">
        <v>256</v>
      </c>
      <c r="H67" s="45">
        <v>140</v>
      </c>
    </row>
    <row r="68" spans="1:8" ht="26.4" x14ac:dyDescent="0.3">
      <c r="A68" s="42">
        <v>63</v>
      </c>
      <c r="B68" s="43" t="s">
        <v>328</v>
      </c>
      <c r="C68" s="43" t="s">
        <v>329</v>
      </c>
      <c r="D68" s="43" t="s">
        <v>330</v>
      </c>
      <c r="E68" s="42" t="s">
        <v>79</v>
      </c>
      <c r="F68" s="43" t="s">
        <v>224</v>
      </c>
      <c r="G68" s="42" t="s">
        <v>256</v>
      </c>
      <c r="H68" s="45">
        <v>140</v>
      </c>
    </row>
    <row r="69" spans="1:8" ht="26.4" x14ac:dyDescent="0.3">
      <c r="A69" s="42">
        <v>64</v>
      </c>
      <c r="B69" s="43" t="s">
        <v>331</v>
      </c>
      <c r="C69" s="43" t="s">
        <v>332</v>
      </c>
      <c r="D69" s="43" t="s">
        <v>333</v>
      </c>
      <c r="E69" s="42" t="s">
        <v>114</v>
      </c>
      <c r="F69" s="43" t="s">
        <v>288</v>
      </c>
      <c r="G69" s="42" t="s">
        <v>256</v>
      </c>
      <c r="H69" s="45">
        <v>140</v>
      </c>
    </row>
    <row r="70" spans="1:8" x14ac:dyDescent="0.3">
      <c r="A70" s="42">
        <v>65</v>
      </c>
      <c r="B70" s="43" t="s">
        <v>334</v>
      </c>
      <c r="C70" s="43" t="s">
        <v>335</v>
      </c>
      <c r="D70" s="43" t="s">
        <v>278</v>
      </c>
      <c r="E70" s="42" t="s">
        <v>55</v>
      </c>
      <c r="F70" s="43" t="s">
        <v>66</v>
      </c>
      <c r="G70" s="42" t="s">
        <v>256</v>
      </c>
      <c r="H70" s="45">
        <v>140</v>
      </c>
    </row>
    <row r="71" spans="1:8" x14ac:dyDescent="0.3">
      <c r="A71" s="42">
        <v>66</v>
      </c>
      <c r="B71" s="43" t="s">
        <v>336</v>
      </c>
      <c r="C71" s="43" t="s">
        <v>337</v>
      </c>
      <c r="D71" s="43" t="s">
        <v>338</v>
      </c>
      <c r="E71" s="42" t="s">
        <v>79</v>
      </c>
      <c r="F71" s="43" t="s">
        <v>206</v>
      </c>
      <c r="G71" s="42" t="s">
        <v>256</v>
      </c>
      <c r="H71" s="45">
        <v>140</v>
      </c>
    </row>
    <row r="72" spans="1:8" x14ac:dyDescent="0.3">
      <c r="A72" s="42">
        <v>67</v>
      </c>
      <c r="B72" s="43" t="s">
        <v>87</v>
      </c>
      <c r="C72" s="43" t="s">
        <v>339</v>
      </c>
      <c r="D72" s="43" t="s">
        <v>86</v>
      </c>
      <c r="E72" s="42" t="s">
        <v>70</v>
      </c>
      <c r="F72" s="43" t="s">
        <v>196</v>
      </c>
      <c r="G72" s="42" t="s">
        <v>256</v>
      </c>
      <c r="H72" s="45">
        <v>140</v>
      </c>
    </row>
    <row r="73" spans="1:8" ht="26.4" x14ac:dyDescent="0.3">
      <c r="A73" s="42">
        <v>68</v>
      </c>
      <c r="B73" s="43" t="s">
        <v>340</v>
      </c>
      <c r="C73" s="43" t="s">
        <v>341</v>
      </c>
      <c r="D73" s="43" t="s">
        <v>342</v>
      </c>
      <c r="E73" s="42" t="s">
        <v>70</v>
      </c>
      <c r="F73" s="43" t="s">
        <v>325</v>
      </c>
      <c r="G73" s="42" t="s">
        <v>256</v>
      </c>
      <c r="H73" s="45">
        <v>140</v>
      </c>
    </row>
    <row r="74" spans="1:8" ht="26.4" x14ac:dyDescent="0.3">
      <c r="A74" s="42">
        <v>69</v>
      </c>
      <c r="B74" s="43" t="s">
        <v>343</v>
      </c>
      <c r="C74" s="43" t="s">
        <v>344</v>
      </c>
      <c r="D74" s="43" t="s">
        <v>345</v>
      </c>
      <c r="E74" s="42" t="s">
        <v>79</v>
      </c>
      <c r="F74" s="43" t="s">
        <v>260</v>
      </c>
      <c r="G74" s="42" t="s">
        <v>256</v>
      </c>
      <c r="H74" s="45">
        <v>140</v>
      </c>
    </row>
    <row r="75" spans="1:8" x14ac:dyDescent="0.3">
      <c r="A75" s="42">
        <v>70</v>
      </c>
      <c r="B75" s="43" t="s">
        <v>346</v>
      </c>
      <c r="C75" s="43" t="s">
        <v>347</v>
      </c>
      <c r="D75" s="43" t="s">
        <v>348</v>
      </c>
      <c r="E75" s="42" t="s">
        <v>114</v>
      </c>
      <c r="F75" s="43" t="s">
        <v>349</v>
      </c>
      <c r="G75" s="42" t="s">
        <v>256</v>
      </c>
      <c r="H75" s="45">
        <v>140</v>
      </c>
    </row>
    <row r="76" spans="1:8" ht="26.4" x14ac:dyDescent="0.3">
      <c r="A76" s="42">
        <v>71</v>
      </c>
      <c r="B76" s="43" t="s">
        <v>350</v>
      </c>
      <c r="C76" s="43" t="s">
        <v>351</v>
      </c>
      <c r="D76" s="43" t="s">
        <v>278</v>
      </c>
      <c r="E76" s="42" t="s">
        <v>55</v>
      </c>
      <c r="F76" s="43" t="s">
        <v>279</v>
      </c>
      <c r="G76" s="42" t="s">
        <v>256</v>
      </c>
      <c r="H76" s="45">
        <v>140</v>
      </c>
    </row>
    <row r="77" spans="1:8" x14ac:dyDescent="0.3">
      <c r="A77" s="42">
        <v>72</v>
      </c>
      <c r="B77" s="43" t="s">
        <v>352</v>
      </c>
      <c r="C77" s="43" t="s">
        <v>353</v>
      </c>
      <c r="D77" s="43" t="s">
        <v>333</v>
      </c>
      <c r="E77" s="42" t="s">
        <v>114</v>
      </c>
      <c r="F77" s="43" t="s">
        <v>267</v>
      </c>
      <c r="G77" s="42" t="s">
        <v>256</v>
      </c>
      <c r="H77" s="45">
        <v>140</v>
      </c>
    </row>
    <row r="78" spans="1:8" x14ac:dyDescent="0.3">
      <c r="A78" s="42">
        <v>73</v>
      </c>
      <c r="B78" s="43" t="s">
        <v>354</v>
      </c>
      <c r="C78" s="43" t="s">
        <v>355</v>
      </c>
      <c r="D78" s="43" t="s">
        <v>266</v>
      </c>
      <c r="E78" s="42" t="s">
        <v>114</v>
      </c>
      <c r="F78" s="43" t="s">
        <v>287</v>
      </c>
      <c r="G78" s="42" t="s">
        <v>256</v>
      </c>
      <c r="H78" s="45">
        <v>140</v>
      </c>
    </row>
    <row r="79" spans="1:8" ht="26.4" x14ac:dyDescent="0.3">
      <c r="A79" s="42">
        <v>74</v>
      </c>
      <c r="B79" s="43" t="s">
        <v>356</v>
      </c>
      <c r="C79" s="43" t="s">
        <v>357</v>
      </c>
      <c r="D79" s="43" t="s">
        <v>80</v>
      </c>
      <c r="E79" s="42" t="s">
        <v>79</v>
      </c>
      <c r="F79" s="43" t="s">
        <v>164</v>
      </c>
      <c r="G79" s="42" t="s">
        <v>256</v>
      </c>
      <c r="H79" s="45">
        <v>140</v>
      </c>
    </row>
    <row r="80" spans="1:8" x14ac:dyDescent="0.3">
      <c r="A80" s="42">
        <v>75</v>
      </c>
      <c r="B80" s="43" t="s">
        <v>358</v>
      </c>
      <c r="C80" s="43" t="s">
        <v>359</v>
      </c>
      <c r="D80" s="43" t="s">
        <v>360</v>
      </c>
      <c r="E80" s="42" t="s">
        <v>79</v>
      </c>
      <c r="F80" s="43" t="s">
        <v>361</v>
      </c>
      <c r="G80" s="42" t="s">
        <v>256</v>
      </c>
      <c r="H80" s="45">
        <v>140</v>
      </c>
    </row>
    <row r="81" spans="1:8" ht="26.4" x14ac:dyDescent="0.3">
      <c r="A81" s="42">
        <v>76</v>
      </c>
      <c r="B81" s="43" t="s">
        <v>362</v>
      </c>
      <c r="C81" s="43" t="s">
        <v>363</v>
      </c>
      <c r="D81" s="43" t="s">
        <v>364</v>
      </c>
      <c r="E81" s="42" t="s">
        <v>116</v>
      </c>
      <c r="F81" s="43" t="s">
        <v>365</v>
      </c>
      <c r="G81" s="42" t="s">
        <v>256</v>
      </c>
      <c r="H81" s="45">
        <v>140</v>
      </c>
    </row>
    <row r="82" spans="1:8" x14ac:dyDescent="0.3">
      <c r="A82" s="42">
        <v>77</v>
      </c>
      <c r="B82" s="43" t="s">
        <v>366</v>
      </c>
      <c r="C82" s="43" t="s">
        <v>367</v>
      </c>
      <c r="D82" s="43" t="s">
        <v>266</v>
      </c>
      <c r="E82" s="42" t="s">
        <v>114</v>
      </c>
      <c r="F82" s="43" t="s">
        <v>288</v>
      </c>
      <c r="G82" s="42" t="s">
        <v>256</v>
      </c>
      <c r="H82" s="45">
        <v>140</v>
      </c>
    </row>
    <row r="83" spans="1:8" x14ac:dyDescent="0.3">
      <c r="A83" s="42">
        <v>78</v>
      </c>
      <c r="B83" s="43" t="s">
        <v>368</v>
      </c>
      <c r="C83" s="43" t="s">
        <v>369</v>
      </c>
      <c r="D83" s="43" t="s">
        <v>370</v>
      </c>
      <c r="E83" s="42" t="s">
        <v>70</v>
      </c>
      <c r="F83" s="43" t="s">
        <v>322</v>
      </c>
      <c r="G83" s="42" t="s">
        <v>256</v>
      </c>
      <c r="H83" s="45">
        <v>140</v>
      </c>
    </row>
    <row r="84" spans="1:8" ht="26.4" x14ac:dyDescent="0.3">
      <c r="A84" s="42">
        <v>79</v>
      </c>
      <c r="B84" s="43" t="s">
        <v>371</v>
      </c>
      <c r="C84" s="43" t="s">
        <v>372</v>
      </c>
      <c r="D84" s="43" t="s">
        <v>373</v>
      </c>
      <c r="E84" s="42" t="s">
        <v>116</v>
      </c>
      <c r="F84" s="43" t="s">
        <v>374</v>
      </c>
      <c r="G84" s="42" t="s">
        <v>256</v>
      </c>
      <c r="H84" s="45">
        <v>140</v>
      </c>
    </row>
    <row r="85" spans="1:8" x14ac:dyDescent="0.3">
      <c r="A85" s="42">
        <v>80</v>
      </c>
      <c r="B85" s="43" t="s">
        <v>361</v>
      </c>
      <c r="C85" s="43" t="s">
        <v>375</v>
      </c>
      <c r="D85" s="43" t="s">
        <v>376</v>
      </c>
      <c r="E85" s="42" t="s">
        <v>79</v>
      </c>
      <c r="F85" s="43" t="s">
        <v>167</v>
      </c>
      <c r="G85" s="42" t="s">
        <v>256</v>
      </c>
      <c r="H85" s="45">
        <v>140</v>
      </c>
    </row>
    <row r="86" spans="1:8" x14ac:dyDescent="0.3">
      <c r="A86" s="42">
        <v>81</v>
      </c>
      <c r="B86" s="43" t="s">
        <v>377</v>
      </c>
      <c r="C86" s="43" t="s">
        <v>378</v>
      </c>
      <c r="D86" s="43" t="s">
        <v>379</v>
      </c>
      <c r="E86" s="42" t="s">
        <v>79</v>
      </c>
      <c r="F86" s="43" t="s">
        <v>206</v>
      </c>
      <c r="G86" s="42" t="s">
        <v>256</v>
      </c>
      <c r="H86" s="45">
        <v>140</v>
      </c>
    </row>
    <row r="87" spans="1:8" x14ac:dyDescent="0.3">
      <c r="A87" s="42">
        <v>82</v>
      </c>
      <c r="B87" s="43" t="s">
        <v>380</v>
      </c>
      <c r="C87" s="43" t="s">
        <v>381</v>
      </c>
      <c r="D87" s="43" t="s">
        <v>284</v>
      </c>
      <c r="E87" s="42" t="s">
        <v>79</v>
      </c>
      <c r="F87" s="43" t="s">
        <v>218</v>
      </c>
      <c r="G87" s="42" t="s">
        <v>256</v>
      </c>
      <c r="H87" s="45">
        <v>140</v>
      </c>
    </row>
    <row r="88" spans="1:8" x14ac:dyDescent="0.3">
      <c r="A88" s="42">
        <v>83</v>
      </c>
      <c r="B88" s="43" t="s">
        <v>382</v>
      </c>
      <c r="C88" s="43" t="s">
        <v>383</v>
      </c>
      <c r="D88" s="43" t="s">
        <v>384</v>
      </c>
      <c r="E88" s="42" t="s">
        <v>116</v>
      </c>
      <c r="F88" s="43" t="s">
        <v>365</v>
      </c>
      <c r="G88" s="42" t="s">
        <v>256</v>
      </c>
      <c r="H88" s="45">
        <v>140</v>
      </c>
    </row>
    <row r="89" spans="1:8" x14ac:dyDescent="0.3">
      <c r="A89" s="42">
        <v>84</v>
      </c>
      <c r="B89" s="43" t="s">
        <v>66</v>
      </c>
      <c r="C89" s="43" t="s">
        <v>385</v>
      </c>
      <c r="D89" s="43" t="s">
        <v>67</v>
      </c>
      <c r="E89" s="42" t="s">
        <v>55</v>
      </c>
      <c r="F89" s="43" t="s">
        <v>210</v>
      </c>
      <c r="G89" s="42" t="s">
        <v>256</v>
      </c>
      <c r="H89" s="45">
        <v>140</v>
      </c>
    </row>
    <row r="90" spans="1:8" x14ac:dyDescent="0.3">
      <c r="A90" s="42">
        <v>85</v>
      </c>
      <c r="B90" s="43" t="s">
        <v>386</v>
      </c>
      <c r="C90" s="43" t="s">
        <v>387</v>
      </c>
      <c r="D90" s="43" t="s">
        <v>278</v>
      </c>
      <c r="E90" s="42" t="s">
        <v>55</v>
      </c>
      <c r="F90" s="43" t="s">
        <v>66</v>
      </c>
      <c r="G90" s="42" t="s">
        <v>256</v>
      </c>
      <c r="H90" s="45">
        <v>140</v>
      </c>
    </row>
    <row r="91" spans="1:8" x14ac:dyDescent="0.3">
      <c r="A91" s="42">
        <v>86</v>
      </c>
      <c r="B91" s="43" t="s">
        <v>388</v>
      </c>
      <c r="C91" s="43" t="s">
        <v>389</v>
      </c>
      <c r="D91" s="43" t="s">
        <v>348</v>
      </c>
      <c r="E91" s="42" t="s">
        <v>114</v>
      </c>
      <c r="F91" s="43" t="s">
        <v>349</v>
      </c>
      <c r="G91" s="42" t="s">
        <v>256</v>
      </c>
      <c r="H91" s="45">
        <v>140</v>
      </c>
    </row>
    <row r="92" spans="1:8" ht="26.4" x14ac:dyDescent="0.3">
      <c r="A92" s="42">
        <v>87</v>
      </c>
      <c r="B92" s="43" t="s">
        <v>59</v>
      </c>
      <c r="C92" s="43" t="s">
        <v>390</v>
      </c>
      <c r="D92" s="43" t="s">
        <v>56</v>
      </c>
      <c r="E92" s="42" t="s">
        <v>55</v>
      </c>
      <c r="F92" s="43" t="s">
        <v>60</v>
      </c>
      <c r="G92" s="42" t="s">
        <v>256</v>
      </c>
      <c r="H92" s="45">
        <v>140</v>
      </c>
    </row>
    <row r="93" spans="1:8" ht="26.4" x14ac:dyDescent="0.3">
      <c r="A93" s="42">
        <v>88</v>
      </c>
      <c r="B93" s="43" t="s">
        <v>391</v>
      </c>
      <c r="C93" s="43" t="s">
        <v>392</v>
      </c>
      <c r="D93" s="43" t="s">
        <v>393</v>
      </c>
      <c r="E93" s="42" t="s">
        <v>116</v>
      </c>
      <c r="F93" s="43" t="s">
        <v>394</v>
      </c>
      <c r="G93" s="42" t="s">
        <v>256</v>
      </c>
      <c r="H93" s="45">
        <v>140</v>
      </c>
    </row>
    <row r="94" spans="1:8" x14ac:dyDescent="0.3">
      <c r="A94" s="42">
        <v>89</v>
      </c>
      <c r="B94" s="43" t="s">
        <v>395</v>
      </c>
      <c r="C94" s="43" t="s">
        <v>396</v>
      </c>
      <c r="D94" s="43" t="s">
        <v>397</v>
      </c>
      <c r="E94" s="42" t="s">
        <v>79</v>
      </c>
      <c r="F94" s="43" t="s">
        <v>273</v>
      </c>
      <c r="G94" s="42" t="s">
        <v>256</v>
      </c>
      <c r="H94" s="45">
        <v>140</v>
      </c>
    </row>
    <row r="95" spans="1:8" ht="26.4" x14ac:dyDescent="0.3">
      <c r="A95" s="42">
        <v>90</v>
      </c>
      <c r="B95" s="43" t="s">
        <v>63</v>
      </c>
      <c r="C95" s="43" t="s">
        <v>398</v>
      </c>
      <c r="D95" s="43" t="s">
        <v>56</v>
      </c>
      <c r="E95" s="42" t="s">
        <v>55</v>
      </c>
      <c r="F95" s="43" t="s">
        <v>60</v>
      </c>
      <c r="G95" s="42" t="s">
        <v>256</v>
      </c>
      <c r="H95" s="45">
        <v>140</v>
      </c>
    </row>
    <row r="96" spans="1:8" x14ac:dyDescent="0.3">
      <c r="A96" s="42">
        <v>91</v>
      </c>
      <c r="B96" s="43" t="s">
        <v>399</v>
      </c>
      <c r="C96" s="43" t="s">
        <v>400</v>
      </c>
      <c r="D96" s="43" t="s">
        <v>370</v>
      </c>
      <c r="E96" s="42" t="s">
        <v>70</v>
      </c>
      <c r="F96" s="43" t="s">
        <v>322</v>
      </c>
      <c r="G96" s="42" t="s">
        <v>256</v>
      </c>
      <c r="H96" s="45">
        <v>140</v>
      </c>
    </row>
    <row r="97" spans="1:8" ht="26.4" x14ac:dyDescent="0.3">
      <c r="A97" s="42">
        <v>92</v>
      </c>
      <c r="B97" s="43" t="s">
        <v>401</v>
      </c>
      <c r="C97" s="43" t="s">
        <v>402</v>
      </c>
      <c r="D97" s="43" t="s">
        <v>278</v>
      </c>
      <c r="E97" s="42" t="s">
        <v>55</v>
      </c>
      <c r="F97" s="43" t="s">
        <v>66</v>
      </c>
      <c r="G97" s="42" t="s">
        <v>256</v>
      </c>
      <c r="H97" s="45">
        <v>140</v>
      </c>
    </row>
    <row r="98" spans="1:8" ht="26.4" x14ac:dyDescent="0.3">
      <c r="A98" s="42">
        <v>93</v>
      </c>
      <c r="B98" s="43" t="s">
        <v>60</v>
      </c>
      <c r="C98" s="43" t="s">
        <v>403</v>
      </c>
      <c r="D98" s="43" t="s">
        <v>61</v>
      </c>
      <c r="E98" s="42" t="s">
        <v>55</v>
      </c>
      <c r="F98" s="43" t="s">
        <v>66</v>
      </c>
      <c r="G98" s="42" t="s">
        <v>256</v>
      </c>
      <c r="H98" s="45">
        <v>140</v>
      </c>
    </row>
    <row r="99" spans="1:8" x14ac:dyDescent="0.3">
      <c r="A99" s="42">
        <v>94</v>
      </c>
      <c r="B99" s="43" t="s">
        <v>404</v>
      </c>
      <c r="C99" s="43" t="s">
        <v>405</v>
      </c>
      <c r="D99" s="43" t="s">
        <v>406</v>
      </c>
      <c r="E99" s="42" t="s">
        <v>116</v>
      </c>
      <c r="F99" s="43" t="s">
        <v>365</v>
      </c>
      <c r="G99" s="42" t="s">
        <v>256</v>
      </c>
      <c r="H99" s="45">
        <v>140</v>
      </c>
    </row>
    <row r="100" spans="1:8" x14ac:dyDescent="0.3">
      <c r="A100" s="42">
        <v>95</v>
      </c>
      <c r="B100" s="43" t="s">
        <v>407</v>
      </c>
      <c r="C100" s="43" t="s">
        <v>408</v>
      </c>
      <c r="D100" s="43" t="s">
        <v>409</v>
      </c>
      <c r="E100" s="42" t="s">
        <v>79</v>
      </c>
      <c r="F100" s="43" t="s">
        <v>206</v>
      </c>
      <c r="G100" s="42" t="s">
        <v>256</v>
      </c>
      <c r="H100" s="45">
        <v>140</v>
      </c>
    </row>
    <row r="101" spans="1:8" ht="26.4" x14ac:dyDescent="0.3">
      <c r="A101" s="42">
        <v>96</v>
      </c>
      <c r="B101" s="43" t="s">
        <v>173</v>
      </c>
      <c r="C101" s="43" t="s">
        <v>410</v>
      </c>
      <c r="D101" s="43" t="s">
        <v>411</v>
      </c>
      <c r="E101" s="42" t="s">
        <v>79</v>
      </c>
      <c r="F101" s="43" t="s">
        <v>412</v>
      </c>
      <c r="G101" s="42" t="s">
        <v>256</v>
      </c>
      <c r="H101" s="45">
        <v>140</v>
      </c>
    </row>
    <row r="102" spans="1:8" ht="26.4" x14ac:dyDescent="0.3">
      <c r="A102" s="42">
        <v>97</v>
      </c>
      <c r="B102" s="43" t="s">
        <v>413</v>
      </c>
      <c r="C102" s="43" t="s">
        <v>414</v>
      </c>
      <c r="D102" s="43" t="s">
        <v>415</v>
      </c>
      <c r="E102" s="42" t="s">
        <v>79</v>
      </c>
      <c r="F102" s="43" t="s">
        <v>206</v>
      </c>
      <c r="G102" s="42" t="s">
        <v>256</v>
      </c>
      <c r="H102" s="45">
        <v>140</v>
      </c>
    </row>
    <row r="103" spans="1:8" ht="26.4" x14ac:dyDescent="0.3">
      <c r="A103" s="42">
        <v>98</v>
      </c>
      <c r="B103" s="43" t="s">
        <v>325</v>
      </c>
      <c r="C103" s="43" t="s">
        <v>416</v>
      </c>
      <c r="D103" s="43" t="s">
        <v>176</v>
      </c>
      <c r="E103" s="42" t="s">
        <v>70</v>
      </c>
      <c r="F103" s="43" t="s">
        <v>177</v>
      </c>
      <c r="G103" s="42" t="s">
        <v>256</v>
      </c>
      <c r="H103" s="45">
        <v>140</v>
      </c>
    </row>
    <row r="104" spans="1:8" ht="26.4" x14ac:dyDescent="0.3">
      <c r="A104" s="42">
        <v>99</v>
      </c>
      <c r="B104" s="43" t="s">
        <v>417</v>
      </c>
      <c r="C104" s="43" t="s">
        <v>418</v>
      </c>
      <c r="D104" s="43" t="s">
        <v>370</v>
      </c>
      <c r="E104" s="42" t="s">
        <v>70</v>
      </c>
      <c r="F104" s="43" t="s">
        <v>322</v>
      </c>
      <c r="G104" s="42" t="s">
        <v>256</v>
      </c>
      <c r="H104" s="45">
        <v>140</v>
      </c>
    </row>
    <row r="105" spans="1:8" x14ac:dyDescent="0.3">
      <c r="A105" s="42">
        <v>100</v>
      </c>
      <c r="B105" s="43" t="s">
        <v>419</v>
      </c>
      <c r="C105" s="43" t="s">
        <v>420</v>
      </c>
      <c r="D105" s="43" t="s">
        <v>80</v>
      </c>
      <c r="E105" s="42" t="s">
        <v>79</v>
      </c>
      <c r="F105" s="43" t="s">
        <v>164</v>
      </c>
      <c r="G105" s="42" t="s">
        <v>256</v>
      </c>
      <c r="H105" s="45">
        <v>140</v>
      </c>
    </row>
    <row r="106" spans="1:8" ht="26.4" x14ac:dyDescent="0.3">
      <c r="A106" s="42">
        <v>101</v>
      </c>
      <c r="B106" s="43" t="s">
        <v>421</v>
      </c>
      <c r="C106" s="43" t="s">
        <v>422</v>
      </c>
      <c r="D106" s="43" t="s">
        <v>423</v>
      </c>
      <c r="E106" s="42" t="s">
        <v>79</v>
      </c>
      <c r="F106" s="43" t="s">
        <v>206</v>
      </c>
      <c r="G106" s="42" t="s">
        <v>256</v>
      </c>
      <c r="H106" s="45">
        <v>140</v>
      </c>
    </row>
    <row r="107" spans="1:8" ht="26.4" x14ac:dyDescent="0.3">
      <c r="A107" s="42">
        <v>102</v>
      </c>
      <c r="B107" s="43" t="s">
        <v>424</v>
      </c>
      <c r="C107" s="43" t="s">
        <v>425</v>
      </c>
      <c r="D107" s="43" t="s">
        <v>426</v>
      </c>
      <c r="E107" s="42" t="s">
        <v>79</v>
      </c>
      <c r="F107" s="43" t="s">
        <v>273</v>
      </c>
      <c r="G107" s="42" t="s">
        <v>256</v>
      </c>
      <c r="H107" s="45">
        <v>140</v>
      </c>
    </row>
    <row r="108" spans="1:8" ht="26.4" x14ac:dyDescent="0.3">
      <c r="A108" s="42">
        <v>103</v>
      </c>
      <c r="B108" s="43" t="s">
        <v>427</v>
      </c>
      <c r="C108" s="43" t="s">
        <v>428</v>
      </c>
      <c r="D108" s="43" t="s">
        <v>84</v>
      </c>
      <c r="E108" s="42" t="s">
        <v>114</v>
      </c>
      <c r="F108" s="43" t="s">
        <v>291</v>
      </c>
      <c r="G108" s="42" t="s">
        <v>256</v>
      </c>
      <c r="H108" s="45">
        <v>140</v>
      </c>
    </row>
    <row r="109" spans="1:8" ht="26.4" x14ac:dyDescent="0.3">
      <c r="A109" s="42">
        <v>104</v>
      </c>
      <c r="B109" s="43" t="s">
        <v>82</v>
      </c>
      <c r="C109" s="43" t="s">
        <v>429</v>
      </c>
      <c r="D109" s="43" t="s">
        <v>80</v>
      </c>
      <c r="E109" s="42" t="s">
        <v>79</v>
      </c>
      <c r="F109" s="43" t="s">
        <v>164</v>
      </c>
      <c r="G109" s="42" t="s">
        <v>256</v>
      </c>
      <c r="H109" s="45">
        <v>140</v>
      </c>
    </row>
    <row r="110" spans="1:8" ht="26.4" x14ac:dyDescent="0.3">
      <c r="A110" s="42">
        <v>105</v>
      </c>
      <c r="B110" s="43" t="s">
        <v>167</v>
      </c>
      <c r="C110" s="43" t="s">
        <v>430</v>
      </c>
      <c r="D110" s="43" t="s">
        <v>431</v>
      </c>
      <c r="E110" s="42" t="s">
        <v>79</v>
      </c>
      <c r="F110" s="43" t="s">
        <v>412</v>
      </c>
      <c r="G110" s="42" t="s">
        <v>256</v>
      </c>
      <c r="H110" s="45">
        <v>140</v>
      </c>
    </row>
    <row r="111" spans="1:8" x14ac:dyDescent="0.3">
      <c r="A111" s="42">
        <v>106</v>
      </c>
      <c r="B111" s="43" t="s">
        <v>432</v>
      </c>
      <c r="C111" s="43" t="s">
        <v>433</v>
      </c>
      <c r="D111" s="43" t="s">
        <v>434</v>
      </c>
      <c r="E111" s="42" t="s">
        <v>79</v>
      </c>
      <c r="F111" s="43" t="s">
        <v>164</v>
      </c>
      <c r="G111" s="42" t="s">
        <v>256</v>
      </c>
      <c r="H111" s="45">
        <v>140</v>
      </c>
    </row>
    <row r="112" spans="1:8" x14ac:dyDescent="0.3">
      <c r="A112" s="42">
        <v>107</v>
      </c>
      <c r="B112" s="43" t="s">
        <v>435</v>
      </c>
      <c r="C112" s="43" t="s">
        <v>436</v>
      </c>
      <c r="D112" s="43" t="s">
        <v>348</v>
      </c>
      <c r="E112" s="42" t="s">
        <v>114</v>
      </c>
      <c r="F112" s="43" t="s">
        <v>349</v>
      </c>
      <c r="G112" s="42" t="s">
        <v>256</v>
      </c>
      <c r="H112" s="45">
        <v>140</v>
      </c>
    </row>
    <row r="113" spans="1:8" ht="26.4" x14ac:dyDescent="0.3">
      <c r="A113" s="42">
        <v>108</v>
      </c>
      <c r="B113" s="43" t="s">
        <v>437</v>
      </c>
      <c r="C113" s="43" t="s">
        <v>438</v>
      </c>
      <c r="D113" s="43" t="s">
        <v>439</v>
      </c>
      <c r="E113" s="42" t="s">
        <v>116</v>
      </c>
      <c r="F113" s="43" t="s">
        <v>298</v>
      </c>
      <c r="G113" s="42" t="s">
        <v>256</v>
      </c>
      <c r="H113" s="45">
        <v>140</v>
      </c>
    </row>
    <row r="114" spans="1:8" ht="26.4" x14ac:dyDescent="0.3">
      <c r="A114" s="42">
        <v>109</v>
      </c>
      <c r="B114" s="43" t="s">
        <v>65</v>
      </c>
      <c r="C114" s="43" t="s">
        <v>440</v>
      </c>
      <c r="D114" s="43" t="s">
        <v>56</v>
      </c>
      <c r="E114" s="42" t="s">
        <v>55</v>
      </c>
      <c r="F114" s="43" t="s">
        <v>60</v>
      </c>
      <c r="G114" s="42" t="s">
        <v>256</v>
      </c>
      <c r="H114" s="45">
        <v>140</v>
      </c>
    </row>
    <row r="115" spans="1:8" ht="26.4" x14ac:dyDescent="0.3">
      <c r="A115" s="42">
        <v>110</v>
      </c>
      <c r="B115" s="43" t="s">
        <v>54</v>
      </c>
      <c r="C115" s="43" t="s">
        <v>441</v>
      </c>
      <c r="D115" s="43" t="s">
        <v>56</v>
      </c>
      <c r="E115" s="42" t="s">
        <v>55</v>
      </c>
      <c r="F115" s="43" t="s">
        <v>60</v>
      </c>
      <c r="G115" s="42" t="s">
        <v>256</v>
      </c>
      <c r="H115" s="45">
        <v>140</v>
      </c>
    </row>
    <row r="116" spans="1:8" ht="26.4" x14ac:dyDescent="0.3">
      <c r="A116" s="42">
        <v>111</v>
      </c>
      <c r="B116" s="43" t="s">
        <v>58</v>
      </c>
      <c r="C116" s="43" t="s">
        <v>442</v>
      </c>
      <c r="D116" s="43" t="s">
        <v>56</v>
      </c>
      <c r="E116" s="42" t="s">
        <v>55</v>
      </c>
      <c r="F116" s="43" t="s">
        <v>60</v>
      </c>
      <c r="G116" s="42" t="s">
        <v>256</v>
      </c>
      <c r="H116" s="45">
        <v>140</v>
      </c>
    </row>
    <row r="117" spans="1:8" x14ac:dyDescent="0.3">
      <c r="A117" s="42">
        <v>112</v>
      </c>
      <c r="B117" s="43" t="s">
        <v>374</v>
      </c>
      <c r="C117" s="43" t="s">
        <v>443</v>
      </c>
      <c r="D117" s="43" t="s">
        <v>444</v>
      </c>
      <c r="E117" s="42" t="s">
        <v>116</v>
      </c>
      <c r="F117" s="43" t="s">
        <v>365</v>
      </c>
      <c r="G117" s="42" t="s">
        <v>256</v>
      </c>
      <c r="H117" s="45">
        <v>140</v>
      </c>
    </row>
    <row r="118" spans="1:8" ht="26.4" x14ac:dyDescent="0.3">
      <c r="A118" s="42">
        <v>113</v>
      </c>
      <c r="B118" s="43" t="s">
        <v>445</v>
      </c>
      <c r="C118" s="43" t="s">
        <v>446</v>
      </c>
      <c r="D118" s="43" t="s">
        <v>447</v>
      </c>
      <c r="E118" s="42" t="s">
        <v>79</v>
      </c>
      <c r="F118" s="43" t="s">
        <v>361</v>
      </c>
      <c r="G118" s="42" t="s">
        <v>256</v>
      </c>
      <c r="H118" s="45">
        <v>140</v>
      </c>
    </row>
    <row r="119" spans="1:8" x14ac:dyDescent="0.3">
      <c r="A119" s="42">
        <v>114</v>
      </c>
      <c r="B119" s="43" t="s">
        <v>287</v>
      </c>
      <c r="C119" s="43" t="s">
        <v>448</v>
      </c>
      <c r="D119" s="43" t="s">
        <v>290</v>
      </c>
      <c r="E119" s="42" t="s">
        <v>114</v>
      </c>
      <c r="F119" s="43" t="s">
        <v>308</v>
      </c>
      <c r="G119" s="42" t="s">
        <v>256</v>
      </c>
      <c r="H119" s="45">
        <v>140</v>
      </c>
    </row>
    <row r="120" spans="1:8" x14ac:dyDescent="0.3">
      <c r="A120" s="42">
        <v>115</v>
      </c>
      <c r="B120" s="43" t="s">
        <v>449</v>
      </c>
      <c r="C120" s="43" t="s">
        <v>450</v>
      </c>
      <c r="D120" s="43" t="s">
        <v>451</v>
      </c>
      <c r="E120" s="42" t="s">
        <v>79</v>
      </c>
      <c r="F120" s="43" t="s">
        <v>361</v>
      </c>
      <c r="G120" s="42" t="s">
        <v>256</v>
      </c>
      <c r="H120" s="45">
        <v>140</v>
      </c>
    </row>
    <row r="121" spans="1:8" x14ac:dyDescent="0.3">
      <c r="A121" s="42">
        <v>116</v>
      </c>
      <c r="B121" s="43" t="s">
        <v>78</v>
      </c>
      <c r="C121" s="43" t="s">
        <v>452</v>
      </c>
      <c r="D121" s="43" t="s">
        <v>80</v>
      </c>
      <c r="E121" s="42" t="s">
        <v>79</v>
      </c>
      <c r="F121" s="43" t="s">
        <v>164</v>
      </c>
      <c r="G121" s="42" t="s">
        <v>256</v>
      </c>
      <c r="H121" s="45">
        <v>140</v>
      </c>
    </row>
    <row r="122" spans="1:8" x14ac:dyDescent="0.3">
      <c r="A122" s="42">
        <v>117</v>
      </c>
      <c r="B122" s="43" t="s">
        <v>453</v>
      </c>
      <c r="C122" s="43" t="s">
        <v>454</v>
      </c>
      <c r="D122" s="43" t="s">
        <v>455</v>
      </c>
      <c r="E122" s="42" t="s">
        <v>79</v>
      </c>
      <c r="F122" s="43" t="s">
        <v>206</v>
      </c>
      <c r="G122" s="42" t="s">
        <v>256</v>
      </c>
      <c r="H122" s="45">
        <v>140</v>
      </c>
    </row>
    <row r="123" spans="1:8" ht="26.4" x14ac:dyDescent="0.3">
      <c r="A123" s="42">
        <v>118</v>
      </c>
      <c r="B123" s="43" t="s">
        <v>255</v>
      </c>
      <c r="C123" s="43" t="s">
        <v>456</v>
      </c>
      <c r="D123" s="43" t="s">
        <v>457</v>
      </c>
      <c r="E123" s="42" t="s">
        <v>114</v>
      </c>
      <c r="F123" s="43" t="s">
        <v>210</v>
      </c>
      <c r="G123" s="42" t="s">
        <v>256</v>
      </c>
      <c r="H123" s="45">
        <v>140</v>
      </c>
    </row>
    <row r="124" spans="1:8" x14ac:dyDescent="0.3">
      <c r="A124" s="42">
        <v>119</v>
      </c>
      <c r="B124" s="43" t="s">
        <v>458</v>
      </c>
      <c r="C124" s="43" t="s">
        <v>459</v>
      </c>
      <c r="D124" s="43" t="s">
        <v>460</v>
      </c>
      <c r="E124" s="42" t="s">
        <v>79</v>
      </c>
      <c r="F124" s="43" t="s">
        <v>273</v>
      </c>
      <c r="G124" s="42" t="s">
        <v>256</v>
      </c>
      <c r="H124" s="45">
        <v>140</v>
      </c>
    </row>
    <row r="125" spans="1:8" x14ac:dyDescent="0.3">
      <c r="A125" s="42">
        <v>120</v>
      </c>
      <c r="B125" s="43" t="s">
        <v>210</v>
      </c>
      <c r="C125" s="43" t="s">
        <v>461</v>
      </c>
      <c r="D125" s="43" t="s">
        <v>462</v>
      </c>
      <c r="E125" s="42" t="s">
        <v>114</v>
      </c>
      <c r="F125" s="43" t="s">
        <v>412</v>
      </c>
      <c r="G125" s="42" t="s">
        <v>256</v>
      </c>
      <c r="H125" s="45">
        <v>140</v>
      </c>
    </row>
    <row r="126" spans="1:8" x14ac:dyDescent="0.3">
      <c r="A126" s="42">
        <v>121</v>
      </c>
      <c r="B126" s="43" t="s">
        <v>463</v>
      </c>
      <c r="C126" s="43" t="s">
        <v>464</v>
      </c>
      <c r="D126" s="43" t="s">
        <v>465</v>
      </c>
      <c r="E126" s="42" t="s">
        <v>70</v>
      </c>
      <c r="F126" s="43" t="s">
        <v>322</v>
      </c>
      <c r="G126" s="42" t="s">
        <v>256</v>
      </c>
      <c r="H126" s="45">
        <v>140</v>
      </c>
    </row>
    <row r="127" spans="1:8" ht="26.4" x14ac:dyDescent="0.3">
      <c r="A127" s="42">
        <v>122</v>
      </c>
      <c r="B127" s="43" t="s">
        <v>306</v>
      </c>
      <c r="C127" s="43" t="s">
        <v>466</v>
      </c>
      <c r="D127" s="43" t="s">
        <v>467</v>
      </c>
      <c r="E127" s="42" t="s">
        <v>79</v>
      </c>
      <c r="F127" s="43" t="s">
        <v>167</v>
      </c>
      <c r="G127" s="42" t="s">
        <v>256</v>
      </c>
      <c r="H127" s="45">
        <v>140</v>
      </c>
    </row>
    <row r="128" spans="1:8" ht="26.4" x14ac:dyDescent="0.3">
      <c r="A128" s="42">
        <v>123</v>
      </c>
      <c r="B128" s="43" t="s">
        <v>468</v>
      </c>
      <c r="C128" s="43" t="s">
        <v>469</v>
      </c>
      <c r="D128" s="43" t="s">
        <v>470</v>
      </c>
      <c r="E128" s="42" t="s">
        <v>70</v>
      </c>
      <c r="F128" s="43" t="s">
        <v>322</v>
      </c>
      <c r="G128" s="42" t="s">
        <v>256</v>
      </c>
      <c r="H128" s="45">
        <v>140</v>
      </c>
    </row>
    <row r="129" spans="1:8" ht="26.4" x14ac:dyDescent="0.3">
      <c r="A129" s="42">
        <v>124</v>
      </c>
      <c r="B129" s="43" t="s">
        <v>471</v>
      </c>
      <c r="C129" s="43" t="s">
        <v>472</v>
      </c>
      <c r="D129" s="43" t="s">
        <v>473</v>
      </c>
      <c r="E129" s="42" t="s">
        <v>114</v>
      </c>
      <c r="F129" s="43" t="s">
        <v>291</v>
      </c>
      <c r="G129" s="42" t="s">
        <v>256</v>
      </c>
      <c r="H129" s="45">
        <v>140</v>
      </c>
    </row>
    <row r="130" spans="1:8" ht="26.4" x14ac:dyDescent="0.3">
      <c r="A130" s="42">
        <v>125</v>
      </c>
      <c r="B130" s="43" t="s">
        <v>83</v>
      </c>
      <c r="C130" s="43" t="s">
        <v>474</v>
      </c>
      <c r="D130" s="43" t="s">
        <v>84</v>
      </c>
      <c r="E130" s="42" t="s">
        <v>79</v>
      </c>
      <c r="F130" s="43" t="s">
        <v>164</v>
      </c>
      <c r="G130" s="42" t="s">
        <v>256</v>
      </c>
      <c r="H130" s="45">
        <v>140</v>
      </c>
    </row>
    <row r="131" spans="1:8" x14ac:dyDescent="0.3">
      <c r="A131" s="42">
        <v>126</v>
      </c>
      <c r="B131" s="43" t="s">
        <v>475</v>
      </c>
      <c r="C131" s="43" t="s">
        <v>476</v>
      </c>
      <c r="D131" s="43" t="s">
        <v>345</v>
      </c>
      <c r="E131" s="42" t="s">
        <v>79</v>
      </c>
      <c r="F131" s="43" t="s">
        <v>260</v>
      </c>
      <c r="G131" s="42" t="s">
        <v>256</v>
      </c>
      <c r="H131" s="45">
        <v>140</v>
      </c>
    </row>
    <row r="132" spans="1:8" x14ac:dyDescent="0.3">
      <c r="A132" s="42">
        <v>127</v>
      </c>
      <c r="B132" s="43" t="s">
        <v>279</v>
      </c>
      <c r="C132" s="43" t="s">
        <v>477</v>
      </c>
      <c r="D132" s="43" t="s">
        <v>478</v>
      </c>
      <c r="E132" s="42" t="s">
        <v>55</v>
      </c>
      <c r="F132" s="43" t="s">
        <v>66</v>
      </c>
      <c r="G132" s="42" t="s">
        <v>256</v>
      </c>
      <c r="H132" s="45">
        <v>140</v>
      </c>
    </row>
    <row r="133" spans="1:8" ht="26.4" x14ac:dyDescent="0.3">
      <c r="A133" s="42">
        <v>128</v>
      </c>
      <c r="B133" s="43" t="s">
        <v>479</v>
      </c>
      <c r="C133" s="43" t="s">
        <v>480</v>
      </c>
      <c r="D133" s="43" t="s">
        <v>305</v>
      </c>
      <c r="E133" s="42" t="s">
        <v>79</v>
      </c>
      <c r="F133" s="43" t="s">
        <v>306</v>
      </c>
      <c r="G133" s="42" t="s">
        <v>256</v>
      </c>
      <c r="H133" s="45">
        <v>140</v>
      </c>
    </row>
    <row r="134" spans="1:8" ht="15" customHeight="1" x14ac:dyDescent="0.3">
      <c r="A134" s="64" t="s">
        <v>481</v>
      </c>
      <c r="B134" s="64"/>
      <c r="C134" s="64"/>
      <c r="D134" s="64"/>
      <c r="E134" s="64"/>
      <c r="F134" s="64"/>
      <c r="G134" s="64"/>
      <c r="H134" s="64"/>
    </row>
    <row r="135" spans="1:8" ht="15" customHeight="1" x14ac:dyDescent="0.3">
      <c r="A135" s="65" t="s">
        <v>482</v>
      </c>
      <c r="B135" s="65"/>
      <c r="C135" s="65"/>
      <c r="D135" s="65"/>
      <c r="E135" s="65"/>
      <c r="F135" s="65"/>
      <c r="G135" s="65"/>
      <c r="H135" s="65"/>
    </row>
    <row r="137" spans="1:8" ht="24" customHeight="1" x14ac:dyDescent="0.3">
      <c r="A137" s="60" t="s">
        <v>483</v>
      </c>
      <c r="B137" s="60"/>
      <c r="C137" s="60"/>
      <c r="D137" s="60"/>
      <c r="E137" s="60"/>
      <c r="F137" s="60"/>
      <c r="G137" s="60"/>
      <c r="H137" s="60"/>
    </row>
    <row r="138" spans="1:8" x14ac:dyDescent="0.3">
      <c r="A138" s="15" t="s">
        <v>46</v>
      </c>
      <c r="B138" s="15" t="s">
        <v>47</v>
      </c>
      <c r="C138" s="15" t="s">
        <v>154</v>
      </c>
      <c r="D138" s="15" t="s">
        <v>155</v>
      </c>
      <c r="E138" s="15" t="s">
        <v>48</v>
      </c>
      <c r="F138" s="15" t="s">
        <v>156</v>
      </c>
      <c r="G138" s="15" t="s">
        <v>157</v>
      </c>
      <c r="H138" s="15" t="s">
        <v>158</v>
      </c>
    </row>
    <row r="139" spans="1:8" ht="26.4" x14ac:dyDescent="0.3">
      <c r="A139" s="42">
        <v>1</v>
      </c>
      <c r="B139" s="43" t="s">
        <v>73</v>
      </c>
      <c r="C139" s="43" t="s">
        <v>190</v>
      </c>
      <c r="D139" s="43" t="s">
        <v>71</v>
      </c>
      <c r="E139" s="42" t="s">
        <v>70</v>
      </c>
      <c r="F139" s="43" t="s">
        <v>174</v>
      </c>
      <c r="G139" s="42"/>
      <c r="H139" s="45">
        <v>224</v>
      </c>
    </row>
    <row r="140" spans="1:8" x14ac:dyDescent="0.3">
      <c r="A140" s="42">
        <v>2</v>
      </c>
      <c r="B140" s="43" t="s">
        <v>484</v>
      </c>
      <c r="C140" s="43" t="s">
        <v>485</v>
      </c>
      <c r="D140" s="43" t="s">
        <v>86</v>
      </c>
      <c r="E140" s="42" t="s">
        <v>70</v>
      </c>
      <c r="F140" s="43" t="s">
        <v>196</v>
      </c>
      <c r="G140" s="42"/>
      <c r="H140" s="45">
        <v>224</v>
      </c>
    </row>
    <row r="141" spans="1:8" ht="26.4" x14ac:dyDescent="0.3">
      <c r="A141" s="42">
        <v>3</v>
      </c>
      <c r="B141" s="43" t="s">
        <v>83</v>
      </c>
      <c r="C141" s="43" t="s">
        <v>474</v>
      </c>
      <c r="D141" s="43" t="s">
        <v>84</v>
      </c>
      <c r="E141" s="42" t="s">
        <v>79</v>
      </c>
      <c r="F141" s="43" t="s">
        <v>164</v>
      </c>
      <c r="G141" s="42"/>
      <c r="H141" s="45">
        <v>224</v>
      </c>
    </row>
    <row r="142" spans="1:8" x14ac:dyDescent="0.3">
      <c r="A142" s="42">
        <v>4</v>
      </c>
      <c r="B142" s="43" t="s">
        <v>486</v>
      </c>
      <c r="C142" s="43" t="s">
        <v>487</v>
      </c>
      <c r="D142" s="43" t="s">
        <v>86</v>
      </c>
      <c r="E142" s="42" t="s">
        <v>70</v>
      </c>
      <c r="F142" s="43" t="s">
        <v>225</v>
      </c>
      <c r="G142" s="42"/>
      <c r="H142" s="45">
        <v>224</v>
      </c>
    </row>
    <row r="143" spans="1:8" ht="26.4" x14ac:dyDescent="0.3">
      <c r="A143" s="42">
        <v>5</v>
      </c>
      <c r="B143" s="43" t="s">
        <v>488</v>
      </c>
      <c r="C143" s="43" t="s">
        <v>489</v>
      </c>
      <c r="D143" s="43" t="s">
        <v>490</v>
      </c>
      <c r="E143" s="42" t="s">
        <v>70</v>
      </c>
      <c r="F143" s="43" t="s">
        <v>196</v>
      </c>
      <c r="G143" s="42"/>
      <c r="H143" s="45">
        <v>224</v>
      </c>
    </row>
    <row r="144" spans="1:8" ht="26.4" x14ac:dyDescent="0.3">
      <c r="A144" s="42">
        <v>6</v>
      </c>
      <c r="B144" s="43" t="s">
        <v>491</v>
      </c>
      <c r="C144" s="43" t="s">
        <v>492</v>
      </c>
      <c r="D144" s="43" t="s">
        <v>86</v>
      </c>
      <c r="E144" s="42" t="s">
        <v>70</v>
      </c>
      <c r="F144" s="43" t="s">
        <v>225</v>
      </c>
      <c r="G144" s="42"/>
      <c r="H144" s="45">
        <v>224</v>
      </c>
    </row>
    <row r="145" spans="1:8" x14ac:dyDescent="0.3">
      <c r="A145" s="42">
        <v>7</v>
      </c>
      <c r="B145" s="43" t="s">
        <v>85</v>
      </c>
      <c r="C145" s="43" t="s">
        <v>307</v>
      </c>
      <c r="D145" s="43" t="s">
        <v>86</v>
      </c>
      <c r="E145" s="42" t="s">
        <v>70</v>
      </c>
      <c r="F145" s="43" t="s">
        <v>191</v>
      </c>
      <c r="G145" s="42"/>
      <c r="H145" s="45">
        <v>224</v>
      </c>
    </row>
    <row r="146" spans="1:8" ht="26.4" x14ac:dyDescent="0.3">
      <c r="A146" s="42">
        <v>8</v>
      </c>
      <c r="B146" s="43" t="s">
        <v>69</v>
      </c>
      <c r="C146" s="43" t="s">
        <v>198</v>
      </c>
      <c r="D146" s="43" t="s">
        <v>71</v>
      </c>
      <c r="E146" s="42" t="s">
        <v>70</v>
      </c>
      <c r="F146" s="43" t="s">
        <v>199</v>
      </c>
      <c r="G146" s="42"/>
      <c r="H146" s="45">
        <v>224</v>
      </c>
    </row>
    <row r="147" spans="1:8" ht="26.4" x14ac:dyDescent="0.3">
      <c r="A147" s="42">
        <v>9</v>
      </c>
      <c r="B147" s="43" t="s">
        <v>82</v>
      </c>
      <c r="C147" s="43" t="s">
        <v>429</v>
      </c>
      <c r="D147" s="43" t="s">
        <v>80</v>
      </c>
      <c r="E147" s="42" t="s">
        <v>79</v>
      </c>
      <c r="F147" s="43" t="s">
        <v>164</v>
      </c>
      <c r="G147" s="42"/>
      <c r="H147" s="45">
        <v>224</v>
      </c>
    </row>
    <row r="148" spans="1:8" x14ac:dyDescent="0.3">
      <c r="A148" s="42">
        <v>10</v>
      </c>
      <c r="B148" s="43" t="s">
        <v>87</v>
      </c>
      <c r="C148" s="43" t="s">
        <v>339</v>
      </c>
      <c r="D148" s="43" t="s">
        <v>86</v>
      </c>
      <c r="E148" s="42" t="s">
        <v>70</v>
      </c>
      <c r="F148" s="43" t="s">
        <v>196</v>
      </c>
      <c r="G148" s="42"/>
      <c r="H148" s="45">
        <v>224</v>
      </c>
    </row>
    <row r="149" spans="1:8" ht="26.4" x14ac:dyDescent="0.3">
      <c r="A149" s="42">
        <v>11</v>
      </c>
      <c r="B149" s="43" t="s">
        <v>74</v>
      </c>
      <c r="C149" s="43" t="s">
        <v>214</v>
      </c>
      <c r="D149" s="43" t="s">
        <v>75</v>
      </c>
      <c r="E149" s="42" t="s">
        <v>70</v>
      </c>
      <c r="F149" s="43" t="s">
        <v>174</v>
      </c>
      <c r="G149" s="42"/>
      <c r="H149" s="45">
        <v>224</v>
      </c>
    </row>
    <row r="150" spans="1:8" ht="26.4" x14ac:dyDescent="0.3">
      <c r="A150" s="42">
        <v>12</v>
      </c>
      <c r="B150" s="43" t="s">
        <v>493</v>
      </c>
      <c r="C150" s="43" t="s">
        <v>494</v>
      </c>
      <c r="D150" s="43" t="s">
        <v>490</v>
      </c>
      <c r="E150" s="42" t="s">
        <v>70</v>
      </c>
      <c r="F150" s="43" t="s">
        <v>180</v>
      </c>
      <c r="G150" s="42"/>
      <c r="H150" s="45">
        <v>224</v>
      </c>
    </row>
    <row r="151" spans="1:8" x14ac:dyDescent="0.3">
      <c r="A151" s="42">
        <v>13</v>
      </c>
      <c r="B151" s="43" t="s">
        <v>495</v>
      </c>
      <c r="C151" s="43" t="s">
        <v>496</v>
      </c>
      <c r="D151" s="43" t="s">
        <v>71</v>
      </c>
      <c r="E151" s="42" t="s">
        <v>70</v>
      </c>
      <c r="F151" s="43" t="s">
        <v>180</v>
      </c>
      <c r="G151" s="42"/>
      <c r="H151" s="45">
        <v>224</v>
      </c>
    </row>
    <row r="152" spans="1:8" x14ac:dyDescent="0.3">
      <c r="A152" s="42">
        <v>14</v>
      </c>
      <c r="B152" s="43" t="s">
        <v>497</v>
      </c>
      <c r="C152" s="43" t="s">
        <v>498</v>
      </c>
      <c r="D152" s="43" t="s">
        <v>490</v>
      </c>
      <c r="E152" s="42" t="s">
        <v>70</v>
      </c>
      <c r="F152" s="43" t="s">
        <v>180</v>
      </c>
      <c r="G152" s="42"/>
      <c r="H152" s="45">
        <v>224</v>
      </c>
    </row>
    <row r="153" spans="1:8" x14ac:dyDescent="0.3">
      <c r="A153" s="42">
        <v>15</v>
      </c>
      <c r="B153" s="43" t="s">
        <v>499</v>
      </c>
      <c r="C153" s="43" t="s">
        <v>500</v>
      </c>
      <c r="D153" s="43" t="s">
        <v>86</v>
      </c>
      <c r="E153" s="42" t="s">
        <v>70</v>
      </c>
      <c r="F153" s="43" t="s">
        <v>191</v>
      </c>
      <c r="G153" s="42"/>
      <c r="H153" s="45">
        <v>224</v>
      </c>
    </row>
    <row r="154" spans="1:8" x14ac:dyDescent="0.3">
      <c r="A154" s="42">
        <v>16</v>
      </c>
      <c r="B154" s="43" t="s">
        <v>501</v>
      </c>
      <c r="C154" s="43" t="s">
        <v>502</v>
      </c>
      <c r="D154" s="43" t="s">
        <v>71</v>
      </c>
      <c r="E154" s="42" t="s">
        <v>70</v>
      </c>
      <c r="F154" s="43" t="s">
        <v>180</v>
      </c>
      <c r="G154" s="42"/>
      <c r="H154" s="45">
        <v>224</v>
      </c>
    </row>
    <row r="155" spans="1:8" x14ac:dyDescent="0.3">
      <c r="A155" s="42">
        <v>17</v>
      </c>
      <c r="B155" s="43" t="s">
        <v>503</v>
      </c>
      <c r="C155" s="43" t="s">
        <v>504</v>
      </c>
      <c r="D155" s="43" t="s">
        <v>490</v>
      </c>
      <c r="E155" s="42" t="s">
        <v>70</v>
      </c>
      <c r="F155" s="43" t="s">
        <v>191</v>
      </c>
      <c r="G155" s="42"/>
      <c r="H155" s="45">
        <v>224</v>
      </c>
    </row>
    <row r="156" spans="1:8" ht="26.4" x14ac:dyDescent="0.3">
      <c r="A156" s="42">
        <v>18</v>
      </c>
      <c r="B156" s="43" t="s">
        <v>505</v>
      </c>
      <c r="C156" s="43" t="s">
        <v>506</v>
      </c>
      <c r="D156" s="43" t="s">
        <v>507</v>
      </c>
      <c r="E156" s="42" t="s">
        <v>70</v>
      </c>
      <c r="F156" s="43" t="s">
        <v>225</v>
      </c>
      <c r="G156" s="42"/>
      <c r="H156" s="45">
        <v>224</v>
      </c>
    </row>
    <row r="157" spans="1:8" x14ac:dyDescent="0.3">
      <c r="A157" s="42">
        <v>19</v>
      </c>
      <c r="B157" s="43" t="s">
        <v>78</v>
      </c>
      <c r="C157" s="43" t="s">
        <v>452</v>
      </c>
      <c r="D157" s="43" t="s">
        <v>80</v>
      </c>
      <c r="E157" s="42" t="s">
        <v>79</v>
      </c>
      <c r="F157" s="43" t="s">
        <v>164</v>
      </c>
      <c r="G157" s="42"/>
      <c r="H157" s="45">
        <v>224</v>
      </c>
    </row>
    <row r="158" spans="1:8" ht="26.4" x14ac:dyDescent="0.3">
      <c r="A158" s="42">
        <v>20</v>
      </c>
      <c r="B158" s="43" t="s">
        <v>508</v>
      </c>
      <c r="C158" s="43" t="s">
        <v>509</v>
      </c>
      <c r="D158" s="43" t="s">
        <v>510</v>
      </c>
      <c r="E158" s="42" t="s">
        <v>70</v>
      </c>
      <c r="F158" s="43" t="s">
        <v>196</v>
      </c>
      <c r="G158" s="42"/>
      <c r="H158" s="45">
        <v>224</v>
      </c>
    </row>
    <row r="159" spans="1:8" x14ac:dyDescent="0.3">
      <c r="A159" s="42">
        <v>21</v>
      </c>
      <c r="B159" s="43" t="s">
        <v>511</v>
      </c>
      <c r="C159" s="43" t="s">
        <v>512</v>
      </c>
      <c r="D159" s="43" t="s">
        <v>513</v>
      </c>
      <c r="E159" s="42" t="s">
        <v>70</v>
      </c>
      <c r="F159" s="43" t="s">
        <v>191</v>
      </c>
      <c r="G159" s="42"/>
      <c r="H159" s="45">
        <v>224</v>
      </c>
    </row>
    <row r="160" spans="1:8" x14ac:dyDescent="0.3">
      <c r="A160" s="42">
        <v>22</v>
      </c>
      <c r="B160" s="43" t="s">
        <v>514</v>
      </c>
      <c r="C160" s="43" t="s">
        <v>515</v>
      </c>
      <c r="D160" s="43" t="s">
        <v>510</v>
      </c>
      <c r="E160" s="42" t="s">
        <v>70</v>
      </c>
      <c r="F160" s="43" t="s">
        <v>180</v>
      </c>
      <c r="G160" s="42"/>
      <c r="H160" s="45">
        <v>224</v>
      </c>
    </row>
    <row r="161" spans="1:8" x14ac:dyDescent="0.3">
      <c r="A161" s="42">
        <v>23</v>
      </c>
      <c r="B161" s="43" t="s">
        <v>516</v>
      </c>
      <c r="C161" s="43" t="s">
        <v>517</v>
      </c>
      <c r="D161" s="43" t="s">
        <v>490</v>
      </c>
      <c r="E161" s="42" t="s">
        <v>70</v>
      </c>
      <c r="F161" s="43" t="s">
        <v>180</v>
      </c>
      <c r="G161" s="42"/>
      <c r="H161" s="45">
        <v>224</v>
      </c>
    </row>
    <row r="162" spans="1:8" ht="15" customHeight="1" x14ac:dyDescent="0.3">
      <c r="A162" s="64" t="s">
        <v>518</v>
      </c>
      <c r="B162" s="64"/>
      <c r="C162" s="64"/>
      <c r="D162" s="64"/>
      <c r="E162" s="64"/>
      <c r="F162" s="64"/>
      <c r="G162" s="64"/>
      <c r="H162" s="64"/>
    </row>
    <row r="164" spans="1:8" ht="24" customHeight="1" x14ac:dyDescent="0.3">
      <c r="A164" s="60" t="s">
        <v>519</v>
      </c>
      <c r="B164" s="60"/>
      <c r="C164" s="60"/>
      <c r="D164" s="60"/>
      <c r="E164" s="60"/>
      <c r="F164" s="60"/>
      <c r="G164" s="60"/>
      <c r="H164" s="60"/>
    </row>
    <row r="165" spans="1:8" x14ac:dyDescent="0.3">
      <c r="A165" s="15" t="s">
        <v>46</v>
      </c>
      <c r="B165" s="15" t="s">
        <v>47</v>
      </c>
      <c r="C165" s="15" t="s">
        <v>154</v>
      </c>
      <c r="D165" s="15" t="s">
        <v>155</v>
      </c>
      <c r="E165" s="15" t="s">
        <v>48</v>
      </c>
      <c r="F165" s="15" t="s">
        <v>156</v>
      </c>
      <c r="G165" s="15" t="s">
        <v>157</v>
      </c>
      <c r="H165" s="15" t="s">
        <v>158</v>
      </c>
    </row>
    <row r="166" spans="1:8" ht="26.4" x14ac:dyDescent="0.3">
      <c r="A166" s="42">
        <v>1</v>
      </c>
      <c r="B166" s="43" t="s">
        <v>59</v>
      </c>
      <c r="C166" s="43" t="s">
        <v>390</v>
      </c>
      <c r="D166" s="43" t="s">
        <v>56</v>
      </c>
      <c r="E166" s="42" t="s">
        <v>55</v>
      </c>
      <c r="F166" s="43" t="s">
        <v>60</v>
      </c>
      <c r="G166" s="42"/>
      <c r="H166" s="45">
        <v>510</v>
      </c>
    </row>
    <row r="167" spans="1:8" x14ac:dyDescent="0.3">
      <c r="A167" s="42">
        <v>2</v>
      </c>
      <c r="B167" s="43" t="s">
        <v>520</v>
      </c>
      <c r="C167" s="43" t="s">
        <v>521</v>
      </c>
      <c r="D167" s="43" t="s">
        <v>333</v>
      </c>
      <c r="E167" s="42" t="s">
        <v>114</v>
      </c>
      <c r="F167" s="43" t="s">
        <v>287</v>
      </c>
      <c r="G167" s="42"/>
      <c r="H167" s="45">
        <v>510</v>
      </c>
    </row>
    <row r="168" spans="1:8" x14ac:dyDescent="0.3">
      <c r="A168" s="42">
        <v>3</v>
      </c>
      <c r="B168" s="43" t="s">
        <v>66</v>
      </c>
      <c r="C168" s="43" t="s">
        <v>385</v>
      </c>
      <c r="D168" s="43" t="s">
        <v>67</v>
      </c>
      <c r="E168" s="42" t="s">
        <v>55</v>
      </c>
      <c r="F168" s="43" t="s">
        <v>210</v>
      </c>
      <c r="G168" s="42"/>
      <c r="H168" s="45">
        <v>510</v>
      </c>
    </row>
    <row r="169" spans="1:8" ht="26.4" x14ac:dyDescent="0.3">
      <c r="A169" s="42">
        <v>4</v>
      </c>
      <c r="B169" s="43" t="s">
        <v>58</v>
      </c>
      <c r="C169" s="43" t="s">
        <v>442</v>
      </c>
      <c r="D169" s="43" t="s">
        <v>56</v>
      </c>
      <c r="E169" s="42" t="s">
        <v>55</v>
      </c>
      <c r="F169" s="43" t="s">
        <v>60</v>
      </c>
      <c r="G169" s="42"/>
      <c r="H169" s="45">
        <v>510</v>
      </c>
    </row>
    <row r="170" spans="1:8" ht="26.4" x14ac:dyDescent="0.3">
      <c r="A170" s="42">
        <v>5</v>
      </c>
      <c r="B170" s="43" t="s">
        <v>54</v>
      </c>
      <c r="C170" s="43" t="s">
        <v>522</v>
      </c>
      <c r="D170" s="43" t="s">
        <v>56</v>
      </c>
      <c r="E170" s="42" t="s">
        <v>55</v>
      </c>
      <c r="F170" s="43" t="s">
        <v>60</v>
      </c>
      <c r="G170" s="42"/>
      <c r="H170" s="45">
        <v>510</v>
      </c>
    </row>
    <row r="171" spans="1:8" ht="26.4" x14ac:dyDescent="0.3">
      <c r="A171" s="42">
        <v>6</v>
      </c>
      <c r="B171" s="43" t="s">
        <v>63</v>
      </c>
      <c r="C171" s="43" t="s">
        <v>398</v>
      </c>
      <c r="D171" s="43" t="s">
        <v>56</v>
      </c>
      <c r="E171" s="42" t="s">
        <v>55</v>
      </c>
      <c r="F171" s="43" t="s">
        <v>60</v>
      </c>
      <c r="G171" s="42"/>
      <c r="H171" s="45">
        <v>510</v>
      </c>
    </row>
    <row r="172" spans="1:8" ht="26.4" x14ac:dyDescent="0.3">
      <c r="A172" s="42">
        <v>7</v>
      </c>
      <c r="B172" s="43" t="s">
        <v>65</v>
      </c>
      <c r="C172" s="43" t="s">
        <v>440</v>
      </c>
      <c r="D172" s="43" t="s">
        <v>56</v>
      </c>
      <c r="E172" s="42" t="s">
        <v>55</v>
      </c>
      <c r="F172" s="43" t="s">
        <v>60</v>
      </c>
      <c r="G172" s="42"/>
      <c r="H172" s="45">
        <v>510</v>
      </c>
    </row>
    <row r="173" spans="1:8" ht="26.4" x14ac:dyDescent="0.3">
      <c r="A173" s="42">
        <v>8</v>
      </c>
      <c r="B173" s="43" t="s">
        <v>60</v>
      </c>
      <c r="C173" s="43" t="s">
        <v>403</v>
      </c>
      <c r="D173" s="43" t="s">
        <v>61</v>
      </c>
      <c r="E173" s="42" t="s">
        <v>55</v>
      </c>
      <c r="F173" s="43" t="s">
        <v>66</v>
      </c>
      <c r="G173" s="42"/>
      <c r="H173" s="45">
        <v>510</v>
      </c>
    </row>
    <row r="174" spans="1:8" ht="26.4" x14ac:dyDescent="0.3">
      <c r="A174" s="42">
        <v>9</v>
      </c>
      <c r="B174" s="43" t="s">
        <v>523</v>
      </c>
      <c r="C174" s="43" t="s">
        <v>524</v>
      </c>
      <c r="D174" s="43" t="s">
        <v>525</v>
      </c>
      <c r="E174" s="42" t="s">
        <v>55</v>
      </c>
      <c r="F174" s="43" t="s">
        <v>60</v>
      </c>
      <c r="G174" s="42"/>
      <c r="H174" s="45">
        <v>510</v>
      </c>
    </row>
    <row r="176" spans="1:8" ht="24" customHeight="1" x14ac:dyDescent="0.3">
      <c r="A176" s="60" t="s">
        <v>526</v>
      </c>
      <c r="B176" s="60"/>
      <c r="C176" s="60"/>
      <c r="D176" s="60"/>
      <c r="E176" s="60"/>
      <c r="F176" s="60"/>
      <c r="G176" s="60"/>
      <c r="H176" s="60"/>
    </row>
    <row r="177" spans="1:8" x14ac:dyDescent="0.3">
      <c r="A177" s="15" t="s">
        <v>46</v>
      </c>
      <c r="B177" s="15" t="s">
        <v>47</v>
      </c>
      <c r="C177" s="15" t="s">
        <v>154</v>
      </c>
      <c r="D177" s="15" t="s">
        <v>155</v>
      </c>
      <c r="E177" s="15" t="s">
        <v>48</v>
      </c>
      <c r="F177" s="15" t="s">
        <v>156</v>
      </c>
      <c r="G177" s="15" t="s">
        <v>157</v>
      </c>
      <c r="H177" s="15" t="s">
        <v>158</v>
      </c>
    </row>
    <row r="178" spans="1:8" ht="26.4" x14ac:dyDescent="0.3">
      <c r="A178" s="42">
        <v>1</v>
      </c>
      <c r="B178" s="43" t="s">
        <v>59</v>
      </c>
      <c r="C178" s="43" t="s">
        <v>390</v>
      </c>
      <c r="D178" s="43" t="s">
        <v>56</v>
      </c>
      <c r="E178" s="42" t="s">
        <v>55</v>
      </c>
      <c r="F178" s="43" t="s">
        <v>60</v>
      </c>
      <c r="G178" s="42"/>
      <c r="H178" s="45">
        <v>128</v>
      </c>
    </row>
    <row r="179" spans="1:8" ht="26.4" x14ac:dyDescent="0.3">
      <c r="A179" s="42">
        <v>2</v>
      </c>
      <c r="B179" s="43" t="s">
        <v>63</v>
      </c>
      <c r="C179" s="43" t="s">
        <v>398</v>
      </c>
      <c r="D179" s="43" t="s">
        <v>56</v>
      </c>
      <c r="E179" s="42" t="s">
        <v>55</v>
      </c>
      <c r="F179" s="43" t="s">
        <v>60</v>
      </c>
      <c r="G179" s="42"/>
      <c r="H179" s="45">
        <v>128</v>
      </c>
    </row>
    <row r="180" spans="1:8" ht="26.4" x14ac:dyDescent="0.3">
      <c r="A180" s="42">
        <v>3</v>
      </c>
      <c r="B180" s="43" t="s">
        <v>65</v>
      </c>
      <c r="C180" s="43" t="s">
        <v>440</v>
      </c>
      <c r="D180" s="43" t="s">
        <v>56</v>
      </c>
      <c r="E180" s="42" t="s">
        <v>55</v>
      </c>
      <c r="F180" s="43" t="s">
        <v>60</v>
      </c>
      <c r="G180" s="42"/>
      <c r="H180" s="45">
        <v>128</v>
      </c>
    </row>
    <row r="181" spans="1:8" ht="26.4" x14ac:dyDescent="0.3">
      <c r="A181" s="42">
        <v>4</v>
      </c>
      <c r="B181" s="43" t="s">
        <v>58</v>
      </c>
      <c r="C181" s="43" t="s">
        <v>442</v>
      </c>
      <c r="D181" s="43" t="s">
        <v>56</v>
      </c>
      <c r="E181" s="42" t="s">
        <v>55</v>
      </c>
      <c r="F181" s="43" t="s">
        <v>60</v>
      </c>
      <c r="G181" s="42"/>
      <c r="H181" s="45">
        <v>128</v>
      </c>
    </row>
    <row r="182" spans="1:8" ht="26.4" x14ac:dyDescent="0.3">
      <c r="A182" s="42">
        <v>5</v>
      </c>
      <c r="B182" s="43" t="s">
        <v>54</v>
      </c>
      <c r="C182" s="43" t="s">
        <v>522</v>
      </c>
      <c r="D182" s="43" t="s">
        <v>56</v>
      </c>
      <c r="E182" s="42" t="s">
        <v>55</v>
      </c>
      <c r="F182" s="43" t="s">
        <v>60</v>
      </c>
      <c r="G182" s="42"/>
      <c r="H182" s="45">
        <v>128</v>
      </c>
    </row>
    <row r="184" spans="1:8" ht="24" customHeight="1" x14ac:dyDescent="0.3">
      <c r="A184" s="60" t="s">
        <v>527</v>
      </c>
      <c r="B184" s="60"/>
      <c r="C184" s="60"/>
      <c r="D184" s="60"/>
      <c r="E184" s="60"/>
      <c r="F184" s="60"/>
      <c r="G184" s="60"/>
      <c r="H184" s="60"/>
    </row>
    <row r="185" spans="1:8" x14ac:dyDescent="0.3">
      <c r="A185" s="15" t="s">
        <v>46</v>
      </c>
      <c r="B185" s="15" t="s">
        <v>47</v>
      </c>
      <c r="C185" s="15" t="s">
        <v>154</v>
      </c>
      <c r="D185" s="15" t="s">
        <v>155</v>
      </c>
      <c r="E185" s="15" t="s">
        <v>48</v>
      </c>
      <c r="F185" s="15" t="s">
        <v>156</v>
      </c>
      <c r="G185" s="15" t="s">
        <v>157</v>
      </c>
      <c r="H185" s="15" t="s">
        <v>158</v>
      </c>
    </row>
    <row r="186" spans="1:8" ht="26.4" x14ac:dyDescent="0.3">
      <c r="A186" s="42">
        <v>1</v>
      </c>
      <c r="B186" s="43" t="s">
        <v>58</v>
      </c>
      <c r="C186" s="43" t="s">
        <v>442</v>
      </c>
      <c r="D186" s="43" t="s">
        <v>56</v>
      </c>
      <c r="E186" s="42" t="s">
        <v>55</v>
      </c>
      <c r="F186" s="43" t="s">
        <v>60</v>
      </c>
      <c r="G186" s="42"/>
      <c r="H186" s="45">
        <v>46.4</v>
      </c>
    </row>
    <row r="187" spans="1:8" ht="26.4" x14ac:dyDescent="0.3">
      <c r="A187" s="42">
        <v>2</v>
      </c>
      <c r="B187" s="43" t="s">
        <v>59</v>
      </c>
      <c r="C187" s="43" t="s">
        <v>390</v>
      </c>
      <c r="D187" s="43" t="s">
        <v>56</v>
      </c>
      <c r="E187" s="42" t="s">
        <v>55</v>
      </c>
      <c r="F187" s="43" t="s">
        <v>60</v>
      </c>
      <c r="G187" s="42"/>
      <c r="H187" s="45">
        <v>46.4</v>
      </c>
    </row>
    <row r="188" spans="1:8" ht="26.4" x14ac:dyDescent="0.3">
      <c r="A188" s="42">
        <v>3</v>
      </c>
      <c r="B188" s="43" t="s">
        <v>54</v>
      </c>
      <c r="C188" s="43" t="s">
        <v>522</v>
      </c>
      <c r="D188" s="43" t="s">
        <v>56</v>
      </c>
      <c r="E188" s="42" t="s">
        <v>55</v>
      </c>
      <c r="F188" s="43" t="s">
        <v>60</v>
      </c>
      <c r="G188" s="42"/>
      <c r="H188" s="45">
        <v>46.4</v>
      </c>
    </row>
    <row r="189" spans="1:8" ht="26.4" x14ac:dyDescent="0.3">
      <c r="A189" s="42">
        <v>4</v>
      </c>
      <c r="B189" s="43" t="s">
        <v>60</v>
      </c>
      <c r="C189" s="43" t="s">
        <v>403</v>
      </c>
      <c r="D189" s="43" t="s">
        <v>61</v>
      </c>
      <c r="E189" s="42" t="s">
        <v>55</v>
      </c>
      <c r="F189" s="43" t="s">
        <v>66</v>
      </c>
      <c r="G189" s="42"/>
      <c r="H189" s="45">
        <v>46.4</v>
      </c>
    </row>
    <row r="190" spans="1:8" ht="15" customHeight="1" x14ac:dyDescent="0.3">
      <c r="A190" s="64" t="s">
        <v>528</v>
      </c>
      <c r="B190" s="64"/>
      <c r="C190" s="64"/>
      <c r="D190" s="64"/>
      <c r="E190" s="64"/>
      <c r="F190" s="64"/>
      <c r="G190" s="64"/>
      <c r="H190" s="64"/>
    </row>
    <row r="192" spans="1:8" ht="24" customHeight="1" x14ac:dyDescent="0.3">
      <c r="A192" s="60" t="s">
        <v>529</v>
      </c>
      <c r="B192" s="60"/>
      <c r="C192" s="60"/>
      <c r="D192" s="60"/>
      <c r="E192" s="60"/>
      <c r="F192" s="60"/>
      <c r="G192" s="60"/>
      <c r="H192" s="60"/>
    </row>
    <row r="193" spans="1:8" x14ac:dyDescent="0.3">
      <c r="A193" s="15" t="s">
        <v>46</v>
      </c>
      <c r="B193" s="15" t="s">
        <v>47</v>
      </c>
      <c r="C193" s="15" t="s">
        <v>154</v>
      </c>
      <c r="D193" s="15" t="s">
        <v>155</v>
      </c>
      <c r="E193" s="15" t="s">
        <v>48</v>
      </c>
      <c r="F193" s="15" t="s">
        <v>156</v>
      </c>
      <c r="G193" s="15" t="s">
        <v>157</v>
      </c>
      <c r="H193" s="15" t="s">
        <v>158</v>
      </c>
    </row>
    <row r="194" spans="1:8" ht="26.4" x14ac:dyDescent="0.3">
      <c r="A194" s="42">
        <v>1</v>
      </c>
      <c r="B194" s="43" t="s">
        <v>60</v>
      </c>
      <c r="C194" s="43" t="s">
        <v>403</v>
      </c>
      <c r="D194" s="43" t="s">
        <v>61</v>
      </c>
      <c r="E194" s="42" t="s">
        <v>55</v>
      </c>
      <c r="F194" s="43" t="s">
        <v>66</v>
      </c>
      <c r="G194" s="42"/>
      <c r="H194" s="45">
        <v>70</v>
      </c>
    </row>
    <row r="195" spans="1:8" x14ac:dyDescent="0.3">
      <c r="A195" s="42">
        <v>2</v>
      </c>
      <c r="B195" s="43" t="s">
        <v>66</v>
      </c>
      <c r="C195" s="43" t="s">
        <v>385</v>
      </c>
      <c r="D195" s="43" t="s">
        <v>67</v>
      </c>
      <c r="E195" s="42" t="s">
        <v>55</v>
      </c>
      <c r="F195" s="43" t="s">
        <v>210</v>
      </c>
      <c r="G195" s="42"/>
      <c r="H195" s="45">
        <v>70</v>
      </c>
    </row>
    <row r="197" spans="1:8" ht="24" customHeight="1" x14ac:dyDescent="0.3">
      <c r="A197" s="60" t="s">
        <v>530</v>
      </c>
      <c r="B197" s="60"/>
      <c r="C197" s="60"/>
      <c r="D197" s="60"/>
      <c r="E197" s="60"/>
      <c r="F197" s="60"/>
      <c r="G197" s="60"/>
      <c r="H197" s="60"/>
    </row>
    <row r="198" spans="1:8" x14ac:dyDescent="0.3">
      <c r="A198" s="15" t="s">
        <v>46</v>
      </c>
      <c r="B198" s="15" t="s">
        <v>47</v>
      </c>
      <c r="C198" s="15" t="s">
        <v>154</v>
      </c>
      <c r="D198" s="15" t="s">
        <v>155</v>
      </c>
      <c r="E198" s="15" t="s">
        <v>48</v>
      </c>
      <c r="F198" s="15" t="s">
        <v>156</v>
      </c>
      <c r="G198" s="15" t="s">
        <v>157</v>
      </c>
      <c r="H198" s="15" t="s">
        <v>158</v>
      </c>
    </row>
    <row r="199" spans="1:8" x14ac:dyDescent="0.3">
      <c r="A199" s="66" t="s">
        <v>531</v>
      </c>
      <c r="B199" s="66"/>
      <c r="C199" s="66"/>
      <c r="D199" s="66"/>
      <c r="E199" s="66"/>
      <c r="F199" s="66"/>
      <c r="G199" s="66"/>
      <c r="H199" s="66"/>
    </row>
    <row r="201" spans="1:8" ht="24" customHeight="1" x14ac:dyDescent="0.3">
      <c r="A201" s="60" t="s">
        <v>532</v>
      </c>
      <c r="B201" s="60"/>
      <c r="C201" s="60"/>
      <c r="D201" s="60"/>
      <c r="E201" s="60"/>
      <c r="F201" s="60"/>
      <c r="G201" s="60"/>
      <c r="H201" s="60"/>
    </row>
    <row r="202" spans="1:8" x14ac:dyDescent="0.3">
      <c r="A202" s="15" t="s">
        <v>46</v>
      </c>
      <c r="B202" s="15" t="s">
        <v>47</v>
      </c>
      <c r="C202" s="15" t="s">
        <v>154</v>
      </c>
      <c r="D202" s="15" t="s">
        <v>155</v>
      </c>
      <c r="E202" s="15" t="s">
        <v>48</v>
      </c>
      <c r="F202" s="15" t="s">
        <v>156</v>
      </c>
      <c r="G202" s="15" t="s">
        <v>157</v>
      </c>
      <c r="H202" s="15" t="s">
        <v>158</v>
      </c>
    </row>
    <row r="203" spans="1:8" x14ac:dyDescent="0.3">
      <c r="A203" s="66" t="s">
        <v>531</v>
      </c>
      <c r="B203" s="66"/>
      <c r="C203" s="66"/>
      <c r="D203" s="66"/>
      <c r="E203" s="66"/>
      <c r="F203" s="66"/>
      <c r="G203" s="66"/>
      <c r="H203" s="66"/>
    </row>
    <row r="205" spans="1:8" ht="24" customHeight="1" x14ac:dyDescent="0.3">
      <c r="A205" s="60" t="s">
        <v>533</v>
      </c>
      <c r="B205" s="60"/>
      <c r="C205" s="60"/>
      <c r="D205" s="60"/>
      <c r="E205" s="60"/>
      <c r="F205" s="60"/>
      <c r="G205" s="60"/>
      <c r="H205" s="60"/>
    </row>
    <row r="206" spans="1:8" x14ac:dyDescent="0.3">
      <c r="A206" s="15" t="s">
        <v>46</v>
      </c>
      <c r="B206" s="15" t="s">
        <v>47</v>
      </c>
      <c r="C206" s="15" t="s">
        <v>154</v>
      </c>
      <c r="D206" s="15" t="s">
        <v>155</v>
      </c>
      <c r="E206" s="15" t="s">
        <v>48</v>
      </c>
      <c r="F206" s="15" t="s">
        <v>156</v>
      </c>
      <c r="G206" s="15" t="s">
        <v>157</v>
      </c>
      <c r="H206" s="15" t="s">
        <v>158</v>
      </c>
    </row>
    <row r="207" spans="1:8" x14ac:dyDescent="0.3">
      <c r="A207" s="66" t="s">
        <v>531</v>
      </c>
      <c r="B207" s="66"/>
      <c r="C207" s="66"/>
      <c r="D207" s="66"/>
      <c r="E207" s="66"/>
      <c r="F207" s="66"/>
      <c r="G207" s="66"/>
      <c r="H207" s="66"/>
    </row>
    <row r="209" spans="1:8" ht="24" customHeight="1" x14ac:dyDescent="0.3">
      <c r="A209" s="60" t="s">
        <v>534</v>
      </c>
      <c r="B209" s="60"/>
      <c r="C209" s="60"/>
      <c r="D209" s="60"/>
      <c r="E209" s="60"/>
      <c r="F209" s="60"/>
      <c r="G209" s="60"/>
      <c r="H209" s="60"/>
    </row>
    <row r="210" spans="1:8" x14ac:dyDescent="0.3">
      <c r="A210" s="15" t="s">
        <v>46</v>
      </c>
      <c r="B210" s="15" t="s">
        <v>47</v>
      </c>
      <c r="C210" s="15" t="s">
        <v>154</v>
      </c>
      <c r="D210" s="15" t="s">
        <v>155</v>
      </c>
      <c r="E210" s="15" t="s">
        <v>48</v>
      </c>
      <c r="F210" s="15" t="s">
        <v>156</v>
      </c>
      <c r="G210" s="15" t="s">
        <v>157</v>
      </c>
      <c r="H210" s="15" t="s">
        <v>158</v>
      </c>
    </row>
    <row r="211" spans="1:8" x14ac:dyDescent="0.3">
      <c r="A211" s="66" t="s">
        <v>531</v>
      </c>
      <c r="B211" s="66"/>
      <c r="C211" s="66"/>
      <c r="D211" s="66"/>
      <c r="E211" s="66"/>
      <c r="F211" s="66"/>
      <c r="G211" s="66"/>
      <c r="H211" s="66"/>
    </row>
  </sheetData>
  <mergeCells count="20">
    <mergeCell ref="A203:H203"/>
    <mergeCell ref="A205:H205"/>
    <mergeCell ref="A207:H207"/>
    <mergeCell ref="A209:H209"/>
    <mergeCell ref="A211:H211"/>
    <mergeCell ref="A190:H190"/>
    <mergeCell ref="A192:H192"/>
    <mergeCell ref="A197:H197"/>
    <mergeCell ref="A199:H199"/>
    <mergeCell ref="A201:H201"/>
    <mergeCell ref="A137:H137"/>
    <mergeCell ref="A162:H162"/>
    <mergeCell ref="A164:H164"/>
    <mergeCell ref="A176:H176"/>
    <mergeCell ref="A184:H184"/>
    <mergeCell ref="A1:H1"/>
    <mergeCell ref="A2:H2"/>
    <mergeCell ref="A4:H4"/>
    <mergeCell ref="A134:H134"/>
    <mergeCell ref="A135:H13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6" customWidth="1"/>
    <col min="3" max="3" width="22" customWidth="1"/>
    <col min="4" max="4" width="40" customWidth="1"/>
    <col min="5" max="5" width="28" customWidth="1"/>
  </cols>
  <sheetData>
    <row r="1" spans="1:5" ht="30" customHeight="1" x14ac:dyDescent="0.3">
      <c r="A1" s="14" t="s">
        <v>535</v>
      </c>
      <c r="B1" s="14"/>
      <c r="C1" s="14"/>
      <c r="D1" s="14"/>
      <c r="E1" s="14"/>
    </row>
    <row r="3" spans="1:5" ht="27.75" customHeight="1" x14ac:dyDescent="0.3">
      <c r="A3" s="15" t="s">
        <v>2</v>
      </c>
      <c r="B3" s="15" t="s">
        <v>122</v>
      </c>
      <c r="C3" s="15" t="s">
        <v>5</v>
      </c>
      <c r="D3" s="15" t="s">
        <v>536</v>
      </c>
      <c r="E3" s="15" t="s">
        <v>537</v>
      </c>
    </row>
    <row r="4" spans="1:5" ht="15" customHeight="1" x14ac:dyDescent="0.3">
      <c r="A4" s="16" t="s">
        <v>12</v>
      </c>
      <c r="B4" s="21">
        <v>128</v>
      </c>
      <c r="C4" s="54">
        <v>37000</v>
      </c>
      <c r="D4" s="55">
        <f t="shared" ref="D4:D9" si="0">C4/B4</f>
        <v>289.0625</v>
      </c>
      <c r="E4" s="55">
        <f t="shared" ref="E4:E9" si="1">D4*12</f>
        <v>3468.75</v>
      </c>
    </row>
    <row r="5" spans="1:5" ht="15" customHeight="1" x14ac:dyDescent="0.3">
      <c r="A5" s="16" t="s">
        <v>19</v>
      </c>
      <c r="B5" s="21">
        <v>10</v>
      </c>
      <c r="C5" s="54">
        <v>5100</v>
      </c>
      <c r="D5" s="55">
        <f t="shared" si="0"/>
        <v>510</v>
      </c>
      <c r="E5" s="55">
        <f t="shared" si="1"/>
        <v>6120</v>
      </c>
    </row>
    <row r="6" spans="1:5" ht="15" customHeight="1" x14ac:dyDescent="0.3">
      <c r="A6" s="16" t="s">
        <v>17</v>
      </c>
      <c r="B6" s="21">
        <v>23</v>
      </c>
      <c r="C6" s="54">
        <v>5152</v>
      </c>
      <c r="D6" s="55">
        <f t="shared" si="0"/>
        <v>224</v>
      </c>
      <c r="E6" s="55">
        <f t="shared" si="1"/>
        <v>2688</v>
      </c>
    </row>
    <row r="7" spans="1:5" ht="15" customHeight="1" x14ac:dyDescent="0.3">
      <c r="A7" s="16" t="s">
        <v>21</v>
      </c>
      <c r="B7" s="21">
        <v>5</v>
      </c>
      <c r="C7" s="54">
        <v>640</v>
      </c>
      <c r="D7" s="55">
        <f t="shared" si="0"/>
        <v>128</v>
      </c>
      <c r="E7" s="55">
        <f t="shared" si="1"/>
        <v>1536</v>
      </c>
    </row>
    <row r="8" spans="1:5" ht="15" customHeight="1" x14ac:dyDescent="0.3">
      <c r="A8" s="16" t="s">
        <v>23</v>
      </c>
      <c r="B8" s="21">
        <v>5</v>
      </c>
      <c r="C8" s="54">
        <v>232</v>
      </c>
      <c r="D8" s="55">
        <f t="shared" si="0"/>
        <v>46.4</v>
      </c>
      <c r="E8" s="55">
        <f t="shared" si="1"/>
        <v>556.79999999999995</v>
      </c>
    </row>
    <row r="9" spans="1:5" ht="15" customHeight="1" x14ac:dyDescent="0.3">
      <c r="A9" s="16" t="s">
        <v>25</v>
      </c>
      <c r="B9" s="21">
        <v>2</v>
      </c>
      <c r="C9" s="54">
        <v>140</v>
      </c>
      <c r="D9" s="55">
        <f t="shared" si="0"/>
        <v>70</v>
      </c>
      <c r="E9" s="55">
        <f t="shared" si="1"/>
        <v>840</v>
      </c>
    </row>
    <row r="10" spans="1:5" ht="15" customHeight="1" x14ac:dyDescent="0.3">
      <c r="A10" s="16" t="s">
        <v>8</v>
      </c>
      <c r="B10" s="17" t="s">
        <v>538</v>
      </c>
      <c r="C10" s="19">
        <v>104166.66666666701</v>
      </c>
      <c r="D10" s="67" t="s">
        <v>539</v>
      </c>
      <c r="E10" s="67"/>
    </row>
    <row r="11" spans="1:5" ht="15" customHeight="1" x14ac:dyDescent="0.3">
      <c r="A11" s="16" t="s">
        <v>11</v>
      </c>
      <c r="B11" s="17" t="s">
        <v>538</v>
      </c>
      <c r="C11" s="19">
        <v>39583.333333333299</v>
      </c>
      <c r="D11" s="67" t="s">
        <v>540</v>
      </c>
      <c r="E11" s="67"/>
    </row>
    <row r="12" spans="1:5" ht="15" customHeight="1" x14ac:dyDescent="0.3">
      <c r="A12" s="16" t="s">
        <v>14</v>
      </c>
      <c r="B12" s="17" t="s">
        <v>538</v>
      </c>
      <c r="C12" s="19">
        <v>7758</v>
      </c>
      <c r="D12" s="67" t="s">
        <v>541</v>
      </c>
      <c r="E12" s="67"/>
    </row>
    <row r="13" spans="1:5" ht="15" customHeight="1" x14ac:dyDescent="0.3">
      <c r="A13" s="16" t="s">
        <v>27</v>
      </c>
      <c r="B13" s="21">
        <v>520</v>
      </c>
      <c r="C13" s="22">
        <v>0</v>
      </c>
      <c r="D13" s="68" t="s">
        <v>542</v>
      </c>
      <c r="E13" s="68"/>
    </row>
    <row r="16" spans="1:5" ht="15" customHeight="1" x14ac:dyDescent="0.3">
      <c r="A16" s="56" t="s">
        <v>543</v>
      </c>
    </row>
    <row r="17" spans="1:5" ht="15" customHeight="1" x14ac:dyDescent="0.3">
      <c r="A17" s="69" t="s">
        <v>544</v>
      </c>
      <c r="B17" s="69"/>
      <c r="C17" s="69"/>
      <c r="D17" s="69"/>
      <c r="E17" s="69"/>
    </row>
    <row r="18" spans="1:5" ht="15" customHeight="1" x14ac:dyDescent="0.3">
      <c r="A18" s="69" t="s">
        <v>545</v>
      </c>
      <c r="B18" s="69"/>
      <c r="C18" s="69"/>
      <c r="D18" s="69"/>
      <c r="E18" s="69"/>
    </row>
    <row r="19" spans="1:5" ht="15" customHeight="1" x14ac:dyDescent="0.3">
      <c r="A19" s="69" t="s">
        <v>546</v>
      </c>
      <c r="B19" s="69"/>
      <c r="C19" s="69"/>
      <c r="D19" s="69"/>
      <c r="E19" s="69"/>
    </row>
    <row r="20" spans="1:5" ht="15" customHeight="1" x14ac:dyDescent="0.3">
      <c r="A20" s="69" t="s">
        <v>547</v>
      </c>
      <c r="B20" s="69"/>
      <c r="C20" s="69"/>
      <c r="D20" s="69"/>
      <c r="E20" s="69"/>
    </row>
    <row r="21" spans="1:5" ht="15" customHeight="1" x14ac:dyDescent="0.3">
      <c r="A21" s="69" t="s">
        <v>548</v>
      </c>
      <c r="B21" s="69"/>
      <c r="C21" s="69"/>
      <c r="D21" s="69"/>
      <c r="E21" s="69"/>
    </row>
    <row r="22" spans="1:5" ht="15" customHeight="1" x14ac:dyDescent="0.3">
      <c r="A22" s="69" t="s">
        <v>549</v>
      </c>
      <c r="B22" s="69"/>
      <c r="C22" s="69"/>
      <c r="D22" s="69"/>
      <c r="E22" s="69"/>
    </row>
    <row r="23" spans="1:5" ht="15" customHeight="1" x14ac:dyDescent="0.3">
      <c r="A23" s="69" t="s">
        <v>550</v>
      </c>
      <c r="B23" s="69"/>
      <c r="C23" s="69"/>
      <c r="D23" s="69"/>
      <c r="E23" s="69"/>
    </row>
  </sheetData>
  <mergeCells count="12">
    <mergeCell ref="A22:E22"/>
    <mergeCell ref="A23:E23"/>
    <mergeCell ref="A17:E17"/>
    <mergeCell ref="A18:E18"/>
    <mergeCell ref="A19:E19"/>
    <mergeCell ref="A20:E20"/>
    <mergeCell ref="A21:E21"/>
    <mergeCell ref="A1:E1"/>
    <mergeCell ref="D10:E10"/>
    <mergeCell ref="D11:E11"/>
    <mergeCell ref="D12:E12"/>
    <mergeCell ref="D13:E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 Executivo</vt:lpstr>
      <vt:lpstr>IA Operacional (sem produt R&amp;D)</vt:lpstr>
      <vt:lpstr>Custo por Área</vt:lpstr>
      <vt:lpstr>Custo por Área 2</vt:lpstr>
      <vt:lpstr>Usuários por Ferramenta</vt:lpstr>
      <vt:lpstr>Detalhamento por Ferramenta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Alessandro Cesar Torido (MTZ - G&amp;A)</cp:lastModifiedBy>
  <cp:revision>0</cp:revision>
  <dcterms:created xsi:type="dcterms:W3CDTF">2026-05-25T19:40:11Z</dcterms:created>
  <dcterms:modified xsi:type="dcterms:W3CDTF">2026-05-25T21:08:33Z</dcterms:modified>
  <dc:language>en-US</dc:language>
</cp:coreProperties>
</file>